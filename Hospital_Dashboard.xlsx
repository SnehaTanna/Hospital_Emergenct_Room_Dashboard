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senu\Data Analysis\Excel\"/>
    </mc:Choice>
  </mc:AlternateContent>
  <xr:revisionPtr revIDLastSave="0" documentId="13_ncr:1_{82BF27F8-9568-4A4E-9CDF-E2A550187E79}" xr6:coauthVersionLast="47" xr6:coauthVersionMax="47" xr10:uidLastSave="{00000000-0000-0000-0000-000000000000}"/>
  <bookViews>
    <workbookView xWindow="-120" yWindow="-120" windowWidth="20730" windowHeight="11040" xr2:uid="{00000000-000D-0000-FFFF-FFFF00000000}"/>
  </bookViews>
  <sheets>
    <sheet name="Pivot_Reports" sheetId="1" r:id="rId1"/>
    <sheet name="Dashboard" sheetId="2" r:id="rId2"/>
    <sheet name="Daily ER No. of Patients" sheetId="3" r:id="rId3"/>
    <sheet name="Daily Avg. Wait Time of Patient" sheetId="4" r:id="rId4"/>
    <sheet name="Daily Avg. Patient Satisfaction" sheetId="5" r:id="rId5"/>
  </sheets>
  <definedNames>
    <definedName name="Slicer_Date__Month">#N/A</definedName>
    <definedName name="Slicer_Date__Year">#N/A</definedName>
  </definedNames>
  <calcPr calcId="191029"/>
  <pivotCaches>
    <pivotCache cacheId="1922" r:id="rId6"/>
    <pivotCache cacheId="1925" r:id="rId7"/>
    <pivotCache cacheId="1928" r:id="rId8"/>
    <pivotCache cacheId="1931" r:id="rId9"/>
    <pivotCache cacheId="1934" r:id="rId10"/>
    <pivotCache cacheId="1937" r:id="rId11"/>
    <pivotCache cacheId="1940" r:id="rId12"/>
    <pivotCache cacheId="1943" r:id="rId13"/>
    <pivotCache cacheId="1946" r:id="rId14"/>
    <pivotCache cacheId="1949" r:id="rId15"/>
    <pivotCache cacheId="1952" r:id="rId16"/>
    <pivotCache cacheId="1955" r:id="rId17"/>
  </pivotCaches>
  <extLst>
    <ext xmlns:x14="http://schemas.microsoft.com/office/spreadsheetml/2009/9/main" uri="{876F7934-8845-4945-9796-88D515C7AA90}">
      <x14:pivotCaches>
        <pivotCache cacheId="82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24f03eb-9e63-407f-af36-fec848c8a026" name="Hospital Emergency Room Data" connection="Query - Hospital Emergency Room Data"/>
          <x15:modelTable id="Calender_Table_4ac39d3b-6b8e-47c9-ad21-ad37530a3b7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8" i="1" l="1"/>
  <c r="C48" i="1"/>
  <c r="D48" i="1"/>
  <c r="B49" i="1"/>
  <c r="C49" i="1"/>
  <c r="D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F00D87-0AFD-4973-9277-8C414E0DAC3E}" name="Query - Calender_Table" description="Connection to the 'Calender_Table' query in the workbook." type="100" refreshedVersion="8" minRefreshableVersion="5">
    <extLst>
      <ext xmlns:x15="http://schemas.microsoft.com/office/spreadsheetml/2010/11/main" uri="{DE250136-89BD-433C-8126-D09CA5730AF9}">
        <x15:connection id="b86087ad-7489-477a-aa04-1ac9bd4d6137"/>
      </ext>
    </extLst>
  </connection>
  <connection id="2" xr16:uid="{524FEC7F-FEF2-43E3-B740-96265654547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6f35c60-42c9-40cf-aa12-b4568d66c144"/>
      </ext>
    </extLst>
  </connection>
  <connection id="3" xr16:uid="{2AEBC543-5C19-4161-BF61-DA8C36A267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<sst xmlns="http://schemas.openxmlformats.org/spreadsheetml/2006/main" count="156" uniqueCount="74">
  <si>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Distinct Count of Patient Id</t>
  </si>
  <si>
    <t>No. of Patients</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</si>
  <si>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</si>
  <si>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</si>
  <si>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</si>
  <si>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</si>
  <si>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</si>
  <si>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</si>
  <si>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</si>
  <si>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</si>
  <si>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</si>
  <si>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</si>
  <si>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</si>
  <si>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</si>
  <si>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</si>
  <si>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</si>
  <si>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</si>
  <si>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</si>
  <si>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</si>
  <si>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</si>
  <si>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</si>
  <si>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</si>
  <si>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</si>
  <si>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</si>
  <si>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</si>
  <si>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</si>
  <si>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</si>
  <si>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</si>
  <si>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</si>
  <si>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</si>
  <si>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</si>
  <si>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</si>
  <si>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</si>
  <si>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</si>
  <si>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</si>
  <si>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</si>
  <si>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</si>
  <si>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No. of patients per day</t>
  </si>
  <si>
    <t>Avg. Waittime per day</t>
  </si>
  <si>
    <t>Showing daily trend with an area sparkline to spot patterns like busy days or seasonal trends</t>
  </si>
  <si>
    <t>Avg. Patient Satisfaction Score per day</t>
  </si>
  <si>
    <t>Showing daily trend with an area sparkline to show satisfaction score of patients to assess service qualities</t>
  </si>
  <si>
    <t>Count of Patient Admission Flag</t>
  </si>
  <si>
    <t>Admitted</t>
  </si>
  <si>
    <t>Not Admitted</t>
  </si>
  <si>
    <t>% of Total</t>
  </si>
  <si>
    <t>Admission Status</t>
  </si>
  <si>
    <t>% Status</t>
  </si>
  <si>
    <t>0-09</t>
  </si>
  <si>
    <t>10-19</t>
  </si>
  <si>
    <t>20-29</t>
  </si>
  <si>
    <t>30-39</t>
  </si>
  <si>
    <t>40-49</t>
  </si>
  <si>
    <t>50-59</t>
  </si>
  <si>
    <t>60-69</t>
  </si>
  <si>
    <t>70-79</t>
  </si>
  <si>
    <t>Count of Age Group</t>
  </si>
  <si>
    <t>Age Group wise Analysis</t>
  </si>
  <si>
    <t>Count of Patient Attend Status</t>
  </si>
  <si>
    <t>On-Time</t>
  </si>
  <si>
    <t>Delay</t>
  </si>
  <si>
    <t>Count of Patient Gender</t>
  </si>
  <si>
    <t>Female</t>
  </si>
  <si>
    <t>Male</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</si>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</sst>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0" fillId="0" borderId="0" xfId="0" pivotButton="1"/>
    <xf numFmtId="2" fontId="0" fillId="0" borderId="0" xfId="0" applyNumberFormat="1"/>
    <xf numFmtId="0" fontId="0" fillId="3" borderId="0" xfId="0" applyFill="1"/>
    <xf numFmtId="0" fontId="0" fillId="0" borderId="0" xfId="0" applyAlignment="1">
      <alignment horizontal="left"/>
    </xf>
    <xf numFmtId="0" fontId="0" fillId="4" borderId="0" xfId="0" applyFill="1"/>
    <xf numFmtId="0" fontId="2" fillId="2" borderId="0" xfId="0" applyFont="1" applyFill="1"/>
    <xf numFmtId="0" fontId="2" fillId="2" borderId="0" xfId="0" applyFont="1" applyFill="1" applyAlignment="1">
      <alignment horizontal="center"/>
    </xf>
    <xf numFmtId="0" fontId="1" fillId="3" borderId="0" xfId="0" applyFont="1" applyFill="1" applyAlignment="1">
      <alignment horizontal="center"/>
    </xf>
    <xf numFmtId="0" fontId="0" fillId="0" borderId="0" xfId="0" applyNumberFormat="1"/>
    <xf numFmtId="1" fontId="0" fillId="0" borderId="0" xfId="0" applyNumberFormat="1"/>
    <xf numFmtId="10" fontId="0" fillId="0" borderId="0" xfId="0" applyNumberFormat="1"/>
    <xf numFmtId="0" fontId="0" fillId="5" borderId="0" xfId="0" applyFill="1"/>
    <xf numFmtId="0" fontId="0" fillId="6" borderId="0" xfId="0" applyFill="1"/>
    <xf numFmtId="9" fontId="0" fillId="6" borderId="0" xfId="1" applyFont="1" applyFill="1"/>
    <xf numFmtId="0" fontId="0" fillId="0" borderId="0" xfId="0" applyFill="1"/>
    <xf numFmtId="0" fontId="1" fillId="5" borderId="0" xfId="0" applyFont="1" applyFill="1" applyAlignment="1">
      <alignment horizontal="left"/>
    </xf>
    <xf numFmtId="0" fontId="1" fillId="5" borderId="0" xfId="0" applyFont="1" applyFill="1"/>
    <xf numFmtId="0" fontId="0" fillId="2" borderId="0" xfId="0" applyFill="1" applyAlignment="1">
      <alignment horizontal="center"/>
    </xf>
  </cellXfs>
  <cellStyles count="2">
    <cellStyle name="Normal" xfId="0" builtinId="0"/>
    <cellStyle name="Percent" xfId="1" builtinId="5"/>
  </cellStyles>
  <dxfs count="56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b/>
        <i val="0"/>
        <sz val="10"/>
        <color theme="1"/>
        <name val="a"/>
      </font>
      <fill>
        <patternFill>
          <bgColor theme="4" tint="0.79998168889431442"/>
        </patternFill>
      </fill>
      <border diagonalUp="0" diagonalDown="0">
        <left/>
        <right/>
        <top/>
        <bottom/>
        <vertical/>
        <horizontal/>
      </border>
    </dxf>
  </dxfs>
  <tableStyles count="1" defaultTableStyle="TableStyleMedium2" defaultPivotStyle="PivotStyleLight16">
    <tableStyle name="My_Style" pivot="0" table="0" count="10" xr9:uid="{B8689FD5-C749-4418-9C1F-B6205CB0D0E4}">
      <tableStyleElement type="wholeTable" dxfId="566"/>
      <tableStyleElement type="headerRow" dxfId="56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tint="0.39994506668294322"/>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24994659260841701"/>
              <bgColor theme="5"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f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_Style">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095238095238099"/>
                  <c:h val="0.33291703211497786"/>
                </c:manualLayout>
              </c15:layout>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775510204081635"/>
                  <c:h val="0.33291703211497786"/>
                </c:manualLayout>
              </c15:layout>
              <c15:showDataLabelsRange val="1"/>
            </c:ext>
          </c:extLst>
        </c:dLbl>
      </c:pivotFmt>
    </c:pivotFmts>
    <c:plotArea>
      <c:layout>
        <c:manualLayout>
          <c:layoutTarget val="inner"/>
          <c:xMode val="edge"/>
          <c:yMode val="edge"/>
          <c:x val="6.9967554340107721E-2"/>
          <c:y val="9.6898300747373697E-2"/>
          <c:w val="0.84826865443369392"/>
          <c:h val="0.82558218376600223"/>
        </c:manualLayout>
      </c:layout>
      <c:barChart>
        <c:barDir val="bar"/>
        <c:grouping val="clustered"/>
        <c:varyColors val="0"/>
        <c:ser>
          <c:idx val="0"/>
          <c:order val="0"/>
          <c:tx>
            <c:strRef>
              <c:f>Pivot_Reports!$D$42:$D$43</c:f>
              <c:strCache>
                <c:ptCount val="1"/>
                <c:pt idx="0">
                  <c:v>Count of Patient Admission Flag</c:v>
                </c:pt>
              </c:strCache>
            </c:strRef>
          </c:tx>
          <c:spPr>
            <a:solidFill>
              <a:schemeClr val="accent1"/>
            </a:solidFill>
            <a:ln>
              <a:noFill/>
            </a:ln>
            <a:effectLst/>
          </c:spPr>
          <c:invertIfNegative val="0"/>
          <c:dLbls>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775510204081635"/>
                      <c:h val="0.33291703211497786"/>
                    </c:manualLayout>
                  </c15:layout>
                  <c15:showDataLabelsRange val="1"/>
                </c:ext>
              </c:extLst>
            </c:dLbl>
            <c:dLbl>
              <c:idx val="1"/>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095238095238099"/>
                      <c:h val="0.33291703211497786"/>
                    </c:manualLayout>
                  </c15:layout>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Pivot_Reports!$D$42:$D$43</c:f>
              <c:strCache>
                <c:ptCount val="2"/>
                <c:pt idx="0">
                  <c:v>Admitted</c:v>
                </c:pt>
                <c:pt idx="1">
                  <c:v>Not Admitted</c:v>
                </c:pt>
              </c:strCache>
            </c:strRef>
          </c:cat>
          <c:val>
            <c:numRef>
              <c:f>Pivot_Reports!$D$42:$D$43</c:f>
              <c:numCache>
                <c:formatCode>0</c:formatCode>
                <c:ptCount val="2"/>
                <c:pt idx="0">
                  <c:v>269</c:v>
                </c:pt>
                <c:pt idx="1">
                  <c:v>244</c:v>
                </c:pt>
              </c:numCache>
            </c:numRef>
          </c:val>
          <c:extLst>
            <c:ext xmlns:c16="http://schemas.microsoft.com/office/drawing/2014/chart" uri="{C3380CC4-5D6E-409C-BE32-E72D297353CC}">
              <c16:uniqueId val="{0000000D-1527-4E55-8336-FEA4A50114A9}"/>
            </c:ext>
          </c:extLst>
        </c:ser>
        <c:ser>
          <c:idx val="1"/>
          <c:order val="1"/>
          <c:tx>
            <c:strRef>
              <c:f>Pivot_Reports!$D$42:$D$43</c:f>
              <c:strCache>
                <c:ptCount val="1"/>
                <c:pt idx="0">
                  <c:v>% of Total</c:v>
                </c:pt>
              </c:strCache>
            </c:strRef>
          </c:tx>
          <c:spPr>
            <a:solidFill>
              <a:schemeClr val="accent2"/>
            </a:solidFill>
            <a:ln>
              <a:noFill/>
            </a:ln>
            <a:effectLst/>
          </c:spPr>
          <c:invertIfNegative val="0"/>
          <c:cat>
            <c:strRef>
              <c:f>Pivot_Reports!$D$42:$D$43</c:f>
              <c:strCache>
                <c:ptCount val="2"/>
                <c:pt idx="0">
                  <c:v>Admitted</c:v>
                </c:pt>
                <c:pt idx="1">
                  <c:v>Not Admitted</c:v>
                </c:pt>
              </c:strCache>
            </c:strRef>
          </c:cat>
          <c:val>
            <c:numRef>
              <c:f>Pivot_Reports!$D$42:$D$43</c:f>
              <c:numCache>
                <c:formatCode>0.00%</c:formatCode>
                <c:ptCount val="2"/>
                <c:pt idx="0">
                  <c:v>0.52436647173489281</c:v>
                </c:pt>
                <c:pt idx="1">
                  <c:v>0.47563352826510719</c:v>
                </c:pt>
              </c:numCache>
            </c:numRef>
          </c:val>
          <c:extLst>
            <c:ext xmlns:c16="http://schemas.microsoft.com/office/drawing/2014/chart" uri="{C3380CC4-5D6E-409C-BE32-E72D297353CC}">
              <c16:uniqueId val="{0000000E-1527-4E55-8336-FEA4A50114A9}"/>
            </c:ext>
          </c:extLst>
        </c:ser>
        <c:dLbls>
          <c:showLegendKey val="0"/>
          <c:showVal val="0"/>
          <c:showCatName val="0"/>
          <c:showSerName val="0"/>
          <c:showPercent val="0"/>
          <c:showBubbleSize val="0"/>
        </c:dLbls>
        <c:gapWidth val="0"/>
        <c:axId val="1040412351"/>
        <c:axId val="1040413311"/>
      </c:barChart>
      <c:catAx>
        <c:axId val="1040412351"/>
        <c:scaling>
          <c:orientation val="minMax"/>
        </c:scaling>
        <c:delete val="1"/>
        <c:axPos val="l"/>
        <c:numFmt formatCode="General" sourceLinked="1"/>
        <c:majorTickMark val="out"/>
        <c:minorTickMark val="none"/>
        <c:tickLblPos val="nextTo"/>
        <c:crossAx val="1040413311"/>
        <c:crosses val="autoZero"/>
        <c:auto val="1"/>
        <c:lblAlgn val="ctr"/>
        <c:lblOffset val="100"/>
        <c:noMultiLvlLbl val="0"/>
      </c:catAx>
      <c:valAx>
        <c:axId val="1040413311"/>
        <c:scaling>
          <c:orientation val="minMax"/>
        </c:scaling>
        <c:delete val="1"/>
        <c:axPos val="b"/>
        <c:numFmt formatCode="0" sourceLinked="1"/>
        <c:majorTickMark val="out"/>
        <c:minorTickMark val="none"/>
        <c:tickLblPos val="nextTo"/>
        <c:crossAx val="104041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68260342348309E-2"/>
          <c:y val="0.17154006633210009"/>
          <c:w val="0.82003332116460781"/>
          <c:h val="0.65691986733579977"/>
        </c:manualLayout>
      </c:layout>
      <c:areaChart>
        <c:grouping val="standard"/>
        <c:varyColors val="0"/>
        <c:ser>
          <c:idx val="0"/>
          <c:order val="0"/>
          <c:tx>
            <c:strRef>
              <c:f>Pivot_Reports!$G$5</c:f>
              <c:strCache>
                <c:ptCount val="1"/>
                <c:pt idx="0">
                  <c:v>Total</c:v>
                </c:pt>
              </c:strCache>
            </c:strRef>
          </c:tx>
          <c:spPr>
            <a:solidFill>
              <a:schemeClr val="accent1">
                <a:lumMod val="50000"/>
              </a:schemeClr>
            </a:solidFill>
            <a:ln w="25400">
              <a:noFill/>
            </a:ln>
            <a:effectLst/>
          </c:spPr>
          <c:cat>
            <c:strRef>
              <c:f>Pivot_Reports!$F$6:$F$37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Pivot_Reports!$G$6:$G$37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D879-45C1-9094-BD9B172CA55E}"/>
            </c:ext>
          </c:extLst>
        </c:ser>
        <c:dLbls>
          <c:showLegendKey val="0"/>
          <c:showVal val="0"/>
          <c:showCatName val="0"/>
          <c:showSerName val="0"/>
          <c:showPercent val="0"/>
          <c:showBubbleSize val="0"/>
        </c:dLbls>
        <c:axId val="2058245215"/>
        <c:axId val="2058250015"/>
      </c:areaChart>
      <c:catAx>
        <c:axId val="2058245215"/>
        <c:scaling>
          <c:orientation val="minMax"/>
        </c:scaling>
        <c:delete val="1"/>
        <c:axPos val="b"/>
        <c:numFmt formatCode="General" sourceLinked="1"/>
        <c:majorTickMark val="out"/>
        <c:minorTickMark val="none"/>
        <c:tickLblPos val="nextTo"/>
        <c:crossAx val="2058250015"/>
        <c:crosses val="autoZero"/>
        <c:auto val="1"/>
        <c:lblAlgn val="ctr"/>
        <c:lblOffset val="100"/>
        <c:noMultiLvlLbl val="0"/>
      </c:catAx>
      <c:valAx>
        <c:axId val="2058250015"/>
        <c:scaling>
          <c:orientation val="minMax"/>
        </c:scaling>
        <c:delete val="1"/>
        <c:axPos val="l"/>
        <c:numFmt formatCode="General" sourceLinked="1"/>
        <c:majorTickMark val="out"/>
        <c:minorTickMark val="none"/>
        <c:tickLblPos val="nextTo"/>
        <c:crossAx val="2058245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[Hospital_Dashboard.xlsx]Pivot_Reports!PivotTable5</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Pivot_Reports!$K$5</c:f>
              <c:strCache>
                <c:ptCount val="1"/>
                <c:pt idx="0">
                  <c:v>Total</c:v>
                </c:pt>
              </c:strCache>
            </c:strRef>
          </c:tx>
          <c:spPr>
            <a:solidFill>
              <a:schemeClr val="accent1">
                <a:lumMod val="50000"/>
              </a:schemeClr>
            </a:solidFill>
            <a:ln w="25400">
              <a:noFill/>
            </a:ln>
            <a:effectLst>
              <a:outerShdw blurRad="57150" dist="19050" dir="5400000" algn="ctr" rotWithShape="0">
                <a:srgbClr val="000000">
                  <a:alpha val="63000"/>
                </a:srgbClr>
              </a:outerShdw>
            </a:effectLst>
          </c:spPr>
          <c:cat>
            <c:strRef>
              <c:f>Pivot_Reports!$J$6:$J$37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Pivot_Reports!$K$6:$K$37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933B-4A3B-8BAF-B79BDB82E117}"/>
            </c:ext>
          </c:extLst>
        </c:ser>
        <c:dLbls>
          <c:showLegendKey val="0"/>
          <c:showVal val="0"/>
          <c:showCatName val="0"/>
          <c:showSerName val="0"/>
          <c:showPercent val="0"/>
          <c:showBubbleSize val="0"/>
        </c:dLbls>
        <c:axId val="2058225535"/>
        <c:axId val="2058236575"/>
      </c:areaChart>
      <c:catAx>
        <c:axId val="2058225535"/>
        <c:scaling>
          <c:orientation val="minMax"/>
        </c:scaling>
        <c:delete val="1"/>
        <c:axPos val="b"/>
        <c:numFmt formatCode="General" sourceLinked="1"/>
        <c:majorTickMark val="out"/>
        <c:minorTickMark val="none"/>
        <c:tickLblPos val="nextTo"/>
        <c:crossAx val="2058236575"/>
        <c:crosses val="autoZero"/>
        <c:auto val="1"/>
        <c:lblAlgn val="ctr"/>
        <c:lblOffset val="100"/>
        <c:noMultiLvlLbl val="0"/>
      </c:catAx>
      <c:valAx>
        <c:axId val="2058236575"/>
        <c:scaling>
          <c:orientation val="minMax"/>
        </c:scaling>
        <c:delete val="1"/>
        <c:axPos val="l"/>
        <c:numFmt formatCode="0.00" sourceLinked="1"/>
        <c:majorTickMark val="none"/>
        <c:minorTickMark val="none"/>
        <c:tickLblPos val="nextTo"/>
        <c:crossAx val="205822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[Hospital_Dashboard.xlsx]Pivot_Reports!PivotTable6</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3664298553454"/>
          <c:y val="0.29333333333333333"/>
          <c:w val="0.81316335701446552"/>
          <c:h val="0.70666666666666667"/>
        </c:manualLayout>
      </c:layout>
      <c:areaChart>
        <c:grouping val="standard"/>
        <c:varyColors val="0"/>
        <c:ser>
          <c:idx val="0"/>
          <c:order val="0"/>
          <c:tx>
            <c:strRef>
              <c:f>Pivot_Reports!$O$5</c:f>
              <c:strCache>
                <c:ptCount val="1"/>
                <c:pt idx="0">
                  <c:v>Total</c:v>
                </c:pt>
              </c:strCache>
            </c:strRef>
          </c:tx>
          <c:spPr>
            <a:solidFill>
              <a:schemeClr val="accent1">
                <a:lumMod val="50000"/>
              </a:schemeClr>
            </a:solidFill>
            <a:ln w="25400">
              <a:noFill/>
            </a:ln>
            <a:effectLst/>
          </c:spPr>
          <c:cat>
            <c:strRef>
              <c:f>Pivot_Reports!$N$6:$N$37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Pivot_Reports!$O$6:$O$37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3DAD-4AB4-BF65-F927A5C695BB}"/>
            </c:ext>
          </c:extLst>
        </c:ser>
        <c:dLbls>
          <c:showLegendKey val="0"/>
          <c:showVal val="0"/>
          <c:showCatName val="0"/>
          <c:showSerName val="0"/>
          <c:showPercent val="0"/>
          <c:showBubbleSize val="0"/>
        </c:dLbls>
        <c:axId val="18447423"/>
        <c:axId val="18447903"/>
      </c:areaChart>
      <c:catAx>
        <c:axId val="18447423"/>
        <c:scaling>
          <c:orientation val="minMax"/>
        </c:scaling>
        <c:delete val="1"/>
        <c:axPos val="b"/>
        <c:numFmt formatCode="General" sourceLinked="1"/>
        <c:majorTickMark val="out"/>
        <c:minorTickMark val="none"/>
        <c:tickLblPos val="nextTo"/>
        <c:crossAx val="18447903"/>
        <c:crosses val="autoZero"/>
        <c:auto val="1"/>
        <c:lblAlgn val="ctr"/>
        <c:lblOffset val="100"/>
        <c:noMultiLvlLbl val="0"/>
      </c:catAx>
      <c:valAx>
        <c:axId val="18447903"/>
        <c:scaling>
          <c:orientation val="minMax"/>
        </c:scaling>
        <c:delete val="1"/>
        <c:axPos val="l"/>
        <c:numFmt formatCode="0.00" sourceLinked="1"/>
        <c:majorTickMark val="none"/>
        <c:minorTickMark val="none"/>
        <c:tickLblPos val="nextTo"/>
        <c:crossAx val="1844742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6853507177068832E-2"/>
          <c:y val="5.0076593529867534E-2"/>
          <c:w val="0.92629298564586238"/>
          <c:h val="0.57186681203336598"/>
        </c:manualLayout>
      </c:layout>
      <c:barChart>
        <c:barDir val="col"/>
        <c:grouping val="clustered"/>
        <c:varyColors val="0"/>
        <c:ser>
          <c:idx val="0"/>
          <c:order val="0"/>
          <c:tx>
            <c:strRef>
              <c:f>Pivot_Reports!$H$41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Pivot_Reports!$G$42:$G$50</c:f>
              <c:strCache>
                <c:ptCount val="8"/>
                <c:pt idx="0">
                  <c:v>0-09</c:v>
                </c:pt>
                <c:pt idx="1">
                  <c:v>10-19</c:v>
                </c:pt>
                <c:pt idx="2">
                  <c:v>20-29</c:v>
                </c:pt>
                <c:pt idx="3">
                  <c:v>30-39</c:v>
                </c:pt>
                <c:pt idx="4">
                  <c:v>40-49</c:v>
                </c:pt>
                <c:pt idx="5">
                  <c:v>50-59</c:v>
                </c:pt>
                <c:pt idx="6">
                  <c:v>60-69</c:v>
                </c:pt>
                <c:pt idx="7">
                  <c:v>70-79</c:v>
                </c:pt>
              </c:strCache>
            </c:strRef>
          </c:cat>
          <c:val>
            <c:numRef>
              <c:f>Pivot_Reports!$H$42:$H$50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6-2B33-4243-B045-CA1D3CCAD1A1}"/>
            </c:ext>
          </c:extLst>
        </c:ser>
        <c:dLbls>
          <c:showLegendKey val="0"/>
          <c:showVal val="0"/>
          <c:showCatName val="0"/>
          <c:showSerName val="0"/>
          <c:showPercent val="0"/>
          <c:showBubbleSize val="0"/>
        </c:dLbls>
        <c:gapWidth val="219"/>
        <c:overlap val="-27"/>
        <c:axId val="1599419711"/>
        <c:axId val="1599412511"/>
      </c:barChart>
      <c:catAx>
        <c:axId val="159941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9412511"/>
        <c:crosses val="autoZero"/>
        <c:auto val="1"/>
        <c:lblAlgn val="ctr"/>
        <c:lblOffset val="100"/>
        <c:noMultiLvlLbl val="0"/>
      </c:catAx>
      <c:valAx>
        <c:axId val="1599412511"/>
        <c:scaling>
          <c:orientation val="minMax"/>
        </c:scaling>
        <c:delete val="1"/>
        <c:axPos val="l"/>
        <c:numFmt formatCode="0" sourceLinked="1"/>
        <c:majorTickMark val="none"/>
        <c:minorTickMark val="none"/>
        <c:tickLblPos val="nextTo"/>
        <c:crossAx val="15994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[Hospital_Dashboard.xlsx]Pivot_Reports!PivotTable9</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Pivot_Reports!$L$41</c:f>
              <c:strCache>
                <c:ptCount val="1"/>
                <c:pt idx="0">
                  <c:v>Total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Pivot_Reports!$K$42:$K$44</c:f>
              <c:strCache>
                <c:ptCount val="2"/>
                <c:pt idx="0">
                  <c:v>Delay</c:v>
                </c:pt>
                <c:pt idx="1">
                  <c:v>On-Time</c:v>
                </c:pt>
              </c:strCache>
            </c:strRef>
          </c:cat>
          <c:val>
            <c:numRef>
              <c:f>Pivot_Reports!$L$42:$L$44</c:f>
              <c:numCache>
                <c:formatCode>0</c:formatCode>
                <c:ptCount val="2"/>
                <c:pt idx="0">
                  <c:v>316</c:v>
                </c:pt>
                <c:pt idx="1">
                  <c:v>197</c:v>
                </c:pt>
              </c:numCache>
            </c:numRef>
          </c:val>
          <c:extLst>
            <c:ext xmlns:c16="http://schemas.microsoft.com/office/drawing/2014/chart" uri="{C3380CC4-5D6E-409C-BE32-E72D297353CC}">
              <c16:uniqueId val="{0000000A-8051-4015-A768-600817CD49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3886083282917877"/>
          <c:y val="6.623656362621716E-2"/>
          <c:w val="0.71419253317952458"/>
          <c:h val="0.1880656464696060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[Hospital_Dashboard.xlsx]Pivot_Reports!PivotTable10</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6"/>
        <c:spPr>
          <a:solidFill>
            <a:schemeClr val="accent1">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0.22611163604549431"/>
          <c:y val="0.28051754094118514"/>
          <c:w val="0.54777672790901133"/>
          <c:h val="0.57863738863627967"/>
        </c:manualLayout>
      </c:layout>
      <c:doughnutChart>
        <c:varyColors val="1"/>
        <c:ser>
          <c:idx val="0"/>
          <c:order val="0"/>
          <c:tx>
            <c:strRef>
              <c:f>Pivot_Reports!$O$41</c:f>
              <c:strCache>
                <c:ptCount val="1"/>
                <c:pt idx="0">
                  <c:v>Total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Pivot_Reports!$N$42:$N$44</c:f>
              <c:strCache>
                <c:ptCount val="2"/>
                <c:pt idx="0">
                  <c:v>Female</c:v>
                </c:pt>
                <c:pt idx="1">
                  <c:v>Male</c:v>
                </c:pt>
              </c:strCache>
            </c:strRef>
          </c:cat>
          <c:val>
            <c:numRef>
              <c:f>Pivot_Reports!$O$42:$O$44</c:f>
              <c:numCache>
                <c:formatCode>0</c:formatCode>
                <c:ptCount val="2"/>
                <c:pt idx="0">
                  <c:v>241</c:v>
                </c:pt>
                <c:pt idx="1">
                  <c:v>272</c:v>
                </c:pt>
              </c:numCache>
            </c:numRef>
          </c:val>
          <c:extLst>
            <c:ext xmlns:c16="http://schemas.microsoft.com/office/drawing/2014/chart" uri="{C3380CC4-5D6E-409C-BE32-E72D297353CC}">
              <c16:uniqueId val="{0000000A-F1C0-4EF8-9203-4B4DF5B40D72}"/>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[Hospital_Dashboard.xlsx]Pivot_Reports!PivotTable11</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67233043238017"/>
          <c:y val="7.8853046594982074E-2"/>
          <c:w val="0.64732766956761989"/>
          <c:h val="0.8422939068100358"/>
        </c:manualLayout>
      </c:layout>
      <c:barChart>
        <c:barDir val="bar"/>
        <c:grouping val="clustered"/>
        <c:varyColors val="0"/>
        <c:ser>
          <c:idx val="0"/>
          <c:order val="0"/>
          <c:tx>
            <c:strRef>
              <c:f>Pivot_Reports!$R$41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Pivot_Reports!$Q$42:$Q$50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Pivot_Reports!$R$42:$R$50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9A1C-4BE3-9C72-09A38D7EA208}"/>
            </c:ext>
          </c:extLst>
        </c:ser>
        <c:dLbls>
          <c:dLblPos val="outEnd"/>
          <c:showLegendKey val="0"/>
          <c:showVal val="1"/>
          <c:showCatName val="0"/>
          <c:showSerName val="0"/>
          <c:showPercent val="0"/>
          <c:showBubbleSize val="0"/>
        </c:dLbls>
        <c:gapWidth val="103"/>
        <c:axId val="1837830975"/>
        <c:axId val="1837831455"/>
      </c:barChart>
      <c:catAx>
        <c:axId val="183783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7831455"/>
        <c:crosses val="autoZero"/>
        <c:auto val="1"/>
        <c:lblAlgn val="ctr"/>
        <c:lblOffset val="100"/>
        <c:noMultiLvlLbl val="0"/>
      </c:catAx>
      <c:valAx>
        <c:axId val="1837831455"/>
        <c:scaling>
          <c:orientation val="minMax"/>
        </c:scaling>
        <c:delete val="1"/>
        <c:axPos val="b"/>
        <c:numFmt formatCode="0" sourceLinked="1"/>
        <c:majorTickMark val="none"/>
        <c:minorTickMark val="none"/>
        <c:tickLblPos val="nextTo"/>
        <c:crossAx val="183783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69025709135752E-2"/>
          <c:y val="0.17154006633210009"/>
          <c:w val="0.91963166050026879"/>
          <c:h val="0.65691986733579977"/>
        </c:manualLayout>
      </c:layout>
      <c:areaChart>
        <c:grouping val="standard"/>
        <c:varyColors val="0"/>
        <c:ser>
          <c:idx val="0"/>
          <c:order val="0"/>
          <c:tx>
            <c:strRef>
              <c:f>Pivot_Reports!$G$5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Pivot_Reports!$F$6:$F$37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Pivot_Reports!$G$6:$G$37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EF54-4D3D-A022-3920107B9F3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58245215"/>
        <c:axId val="2058250015"/>
      </c:areaChart>
      <c:catAx>
        <c:axId val="20582452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8250015"/>
        <c:crosses val="autoZero"/>
        <c:auto val="1"/>
        <c:lblAlgn val="ctr"/>
        <c:lblOffset val="100"/>
        <c:noMultiLvlLbl val="0"/>
      </c:catAx>
      <c:valAx>
        <c:axId val="2058250015"/>
        <c:scaling>
          <c:orientation val="minMax"/>
        </c:scaling>
        <c:delete val="1"/>
        <c:axPos val="l"/>
        <c:numFmt formatCode="General" sourceLinked="1"/>
        <c:majorTickMark val="out"/>
        <c:minorTickMark val="none"/>
        <c:tickLblPos val="nextTo"/>
        <c:crossAx val="2058245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Pivot_Reports!$K$5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Pivot_Reports!$J$6:$J$37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Pivot_Reports!$K$6:$K$37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F46F-455F-BE7E-CDE3732B7C1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58225535"/>
        <c:axId val="2058236575"/>
      </c:areaChart>
      <c:catAx>
        <c:axId val="20582255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058236575"/>
        <c:crosses val="autoZero"/>
        <c:auto val="1"/>
        <c:lblAlgn val="ctr"/>
        <c:lblOffset val="100"/>
        <c:noMultiLvlLbl val="0"/>
      </c:catAx>
      <c:valAx>
        <c:axId val="2058236575"/>
        <c:scaling>
          <c:orientation val="minMax"/>
        </c:scaling>
        <c:delete val="1"/>
        <c:axPos val="l"/>
        <c:numFmt formatCode="0.00" sourceLinked="1"/>
        <c:majorTickMark val="out"/>
        <c:minorTickMark val="none"/>
        <c:tickLblPos val="nextTo"/>
        <c:crossAx val="205822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[Hospital_Dashboard.xlsx]Pivot_Reports!PivotTable6</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86150457975207E-2"/>
          <c:y val="6.6157760814249358E-2"/>
          <c:w val="0.9604138495420248"/>
          <c:h val="0.88804071246819338"/>
        </c:manualLayout>
      </c:layout>
      <c:areaChart>
        <c:grouping val="standard"/>
        <c:varyColors val="0"/>
        <c:ser>
          <c:idx val="0"/>
          <c:order val="0"/>
          <c:tx>
            <c:strRef>
              <c:f>Pivot_Reports!$O$5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Pivot_Reports!$N$6:$N$37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Pivot_Reports!$O$6:$O$37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CC5-456B-AD75-EEDB3A8A5C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47423"/>
        <c:axId val="18447903"/>
      </c:areaChart>
      <c:catAx>
        <c:axId val="184474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8447903"/>
        <c:crosses val="autoZero"/>
        <c:auto val="1"/>
        <c:lblAlgn val="ctr"/>
        <c:lblOffset val="100"/>
        <c:noMultiLvlLbl val="0"/>
      </c:catAx>
      <c:valAx>
        <c:axId val="18447903"/>
        <c:scaling>
          <c:orientation val="minMax"/>
        </c:scaling>
        <c:delete val="1"/>
        <c:axPos val="l"/>
        <c:numFmt formatCode="0.00" sourceLinked="1"/>
        <c:majorTickMark val="out"/>
        <c:minorTickMark val="none"/>
        <c:tickLblPos val="nextTo"/>
        <c:crossAx val="18447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ily Avg. Patient Satisfaction'!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ily Avg. Wait Time of Patient'!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No. of Patients'!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absolute">
    <xdr:from>
      <xdr:col>4</xdr:col>
      <xdr:colOff>732</xdr:colOff>
      <xdr:row>46</xdr:row>
      <xdr:rowOff>127488</xdr:rowOff>
    </xdr:from>
    <xdr:to>
      <xdr:col>5</xdr:col>
      <xdr:colOff>58614</xdr:colOff>
      <xdr:row>49</xdr:row>
      <xdr:rowOff>13189</xdr:rowOff>
    </xdr:to>
    <xdr:graphicFrame macro="">
      <xdr:nvGraphicFramePr>
        <xdr:cNvPr id="5" name="Chart 4">
          <a:extLst>
            <a:ext uri="{FF2B5EF4-FFF2-40B4-BE49-F238E27FC236}">
              <a16:creationId xmlns:a16="http://schemas.microsoft.com/office/drawing/2014/main" id="{B1DCF023-4EE6-85D0-1188-FC432A0CE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180975</xdr:colOff>
      <xdr:row>0</xdr:row>
      <xdr:rowOff>171451</xdr:rowOff>
    </xdr:from>
    <xdr:to>
      <xdr:col>6</xdr:col>
      <xdr:colOff>76200</xdr:colOff>
      <xdr:row>3</xdr:row>
      <xdr:rowOff>114301</xdr:rowOff>
    </xdr:to>
    <xdr:sp macro="" textlink="">
      <xdr:nvSpPr>
        <xdr:cNvPr id="2" name="Rectangle: Rounded Corners 1">
          <a:extLst>
            <a:ext uri="{FF2B5EF4-FFF2-40B4-BE49-F238E27FC236}">
              <a16:creationId xmlns:a16="http://schemas.microsoft.com/office/drawing/2014/main" id="{23355E8C-F16F-0B11-A395-C938F630E981}"/>
            </a:ext>
          </a:extLst>
        </xdr:cNvPr>
        <xdr:cNvSpPr/>
      </xdr:nvSpPr>
      <xdr:spPr>
        <a:xfrm>
          <a:off x="180975" y="171451"/>
          <a:ext cx="3552825" cy="51435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209550</xdr:colOff>
      <xdr:row>4</xdr:row>
      <xdr:rowOff>66675</xdr:rowOff>
    </xdr:from>
    <xdr:to>
      <xdr:col>1</xdr:col>
      <xdr:colOff>561975</xdr:colOff>
      <xdr:row>17</xdr:row>
      <xdr:rowOff>180975</xdr:rowOff>
    </xdr:to>
    <xdr:sp macro="" textlink="">
      <xdr:nvSpPr>
        <xdr:cNvPr id="13" name="Rectangle 12">
          <a:extLst>
            <a:ext uri="{FF2B5EF4-FFF2-40B4-BE49-F238E27FC236}">
              <a16:creationId xmlns:a16="http://schemas.microsoft.com/office/drawing/2014/main" id="{5BF3070A-6AB8-6B5C-CC56-B94BDAD81234}"/>
            </a:ext>
          </a:extLst>
        </xdr:cNvPr>
        <xdr:cNvSpPr/>
      </xdr:nvSpPr>
      <xdr:spPr>
        <a:xfrm>
          <a:off x="209550" y="828675"/>
          <a:ext cx="962025" cy="25908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47626</xdr:colOff>
      <xdr:row>4</xdr:row>
      <xdr:rowOff>57149</xdr:rowOff>
    </xdr:from>
    <xdr:to>
      <xdr:col>8</xdr:col>
      <xdr:colOff>352426</xdr:colOff>
      <xdr:row>10</xdr:row>
      <xdr:rowOff>66675</xdr:rowOff>
    </xdr:to>
    <xdr:grpSp>
      <xdr:nvGrpSpPr>
        <xdr:cNvPr id="19" name="Group 18">
          <a:extLst>
            <a:ext uri="{FF2B5EF4-FFF2-40B4-BE49-F238E27FC236}">
              <a16:creationId xmlns:a16="http://schemas.microsoft.com/office/drawing/2014/main" id="{B41FF3CC-E379-3BC7-A4E5-5F11B6D40146}"/>
            </a:ext>
          </a:extLst>
        </xdr:cNvPr>
        <xdr:cNvGrpSpPr/>
      </xdr:nvGrpSpPr>
      <xdr:grpSpPr>
        <a:xfrm>
          <a:off x="1263895" y="819149"/>
          <a:ext cx="3953608" cy="1152526"/>
          <a:chOff x="1409700" y="942975"/>
          <a:chExt cx="3838575" cy="1094899"/>
        </a:xfr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grpSpPr>
      <xdr:sp macro="" textlink="Pivot_Reports!B6">
        <xdr:nvSpPr>
          <xdr:cNvPr id="14" name="Rectangle 13">
            <a:extLst>
              <a:ext uri="{FF2B5EF4-FFF2-40B4-BE49-F238E27FC236}">
                <a16:creationId xmlns:a16="http://schemas.microsoft.com/office/drawing/2014/main" id="{E512CA05-9737-6CB0-8827-BC93F4C53CC9}"/>
              </a:ext>
            </a:extLst>
          </xdr:cNvPr>
          <xdr:cNvSpPr/>
        </xdr:nvSpPr>
        <xdr:spPr>
          <a:xfrm>
            <a:off x="1409700" y="952024"/>
            <a:ext cx="1171575" cy="1085850"/>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40087EB7-72A1-729D-14E8-BA917F61FBDC}"/>
              </a:ext>
            </a:extLst>
          </xdr:cNvPr>
          <xdr:cNvSpPr/>
        </xdr:nvSpPr>
        <xdr:spPr>
          <a:xfrm>
            <a:off x="2743200" y="942975"/>
            <a:ext cx="1171575" cy="1085850"/>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a:extLst>
              <a:ext uri="{FF2B5EF4-FFF2-40B4-BE49-F238E27FC236}">
                <a16:creationId xmlns:a16="http://schemas.microsoft.com/office/drawing/2014/main" id="{706C6ACF-CCB7-5898-2DDA-DDF27A4DECC7}"/>
              </a:ext>
            </a:extLst>
          </xdr:cNvPr>
          <xdr:cNvSpPr/>
        </xdr:nvSpPr>
        <xdr:spPr>
          <a:xfrm>
            <a:off x="4076700" y="942975"/>
            <a:ext cx="1171575" cy="1085850"/>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2</xdr:col>
      <xdr:colOff>121227</xdr:colOff>
      <xdr:row>14</xdr:row>
      <xdr:rowOff>73269</xdr:rowOff>
    </xdr:from>
    <xdr:to>
      <xdr:col>8</xdr:col>
      <xdr:colOff>400051</xdr:colOff>
      <xdr:row>20</xdr:row>
      <xdr:rowOff>73269</xdr:rowOff>
    </xdr:to>
    <xdr:sp macro="" textlink="">
      <xdr:nvSpPr>
        <xdr:cNvPr id="21" name="Rectangle 20">
          <a:extLst>
            <a:ext uri="{FF2B5EF4-FFF2-40B4-BE49-F238E27FC236}">
              <a16:creationId xmlns:a16="http://schemas.microsoft.com/office/drawing/2014/main" id="{A98542A7-2251-DFAE-B1BF-3151E8D4AE4C}"/>
            </a:ext>
          </a:extLst>
        </xdr:cNvPr>
        <xdr:cNvSpPr/>
      </xdr:nvSpPr>
      <xdr:spPr>
        <a:xfrm>
          <a:off x="1340427" y="2740269"/>
          <a:ext cx="3936424" cy="11430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504825</xdr:colOff>
      <xdr:row>8</xdr:row>
      <xdr:rowOff>152400</xdr:rowOff>
    </xdr:from>
    <xdr:to>
      <xdr:col>13</xdr:col>
      <xdr:colOff>409574</xdr:colOff>
      <xdr:row>20</xdr:row>
      <xdr:rowOff>17318</xdr:rowOff>
    </xdr:to>
    <xdr:sp macro="" textlink="">
      <xdr:nvSpPr>
        <xdr:cNvPr id="31" name="Rectangle: Rounded Corners 30">
          <a:extLst>
            <a:ext uri="{FF2B5EF4-FFF2-40B4-BE49-F238E27FC236}">
              <a16:creationId xmlns:a16="http://schemas.microsoft.com/office/drawing/2014/main" id="{15E68DF7-F378-C9FD-2DAD-C5B6B4D971D1}"/>
            </a:ext>
          </a:extLst>
        </xdr:cNvPr>
        <xdr:cNvSpPr/>
      </xdr:nvSpPr>
      <xdr:spPr>
        <a:xfrm>
          <a:off x="5381625" y="1676400"/>
          <a:ext cx="2952749" cy="2150918"/>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342900</xdr:colOff>
      <xdr:row>0</xdr:row>
      <xdr:rowOff>123825</xdr:rowOff>
    </xdr:from>
    <xdr:to>
      <xdr:col>1</xdr:col>
      <xdr:colOff>314325</xdr:colOff>
      <xdr:row>3</xdr:row>
      <xdr:rowOff>133350</xdr:rowOff>
    </xdr:to>
    <xdr:pic>
      <xdr:nvPicPr>
        <xdr:cNvPr id="34" name="Graphic 33" descr="Hospital">
          <a:extLst>
            <a:ext uri="{FF2B5EF4-FFF2-40B4-BE49-F238E27FC236}">
              <a16:creationId xmlns:a16="http://schemas.microsoft.com/office/drawing/2014/main" id="{6E8EE942-EA74-C9B2-ED35-7C7E3657C8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123825"/>
          <a:ext cx="581025" cy="581025"/>
        </a:xfrm>
        <a:prstGeom prst="rect">
          <a:avLst/>
        </a:prstGeom>
      </xdr:spPr>
    </xdr:pic>
    <xdr:clientData/>
  </xdr:twoCellAnchor>
  <xdr:twoCellAnchor editAs="absolute">
    <xdr:from>
      <xdr:col>2</xdr:col>
      <xdr:colOff>466725</xdr:colOff>
      <xdr:row>2</xdr:row>
      <xdr:rowOff>85725</xdr:rowOff>
    </xdr:from>
    <xdr:to>
      <xdr:col>4</xdr:col>
      <xdr:colOff>247650</xdr:colOff>
      <xdr:row>3</xdr:row>
      <xdr:rowOff>57150</xdr:rowOff>
    </xdr:to>
    <xdr:sp macro="" textlink="">
      <xdr:nvSpPr>
        <xdr:cNvPr id="35" name="TextBox 34">
          <a:extLst>
            <a:ext uri="{FF2B5EF4-FFF2-40B4-BE49-F238E27FC236}">
              <a16:creationId xmlns:a16="http://schemas.microsoft.com/office/drawing/2014/main" id="{5B41CB4B-EF48-450E-A7C4-2241C3302D95}"/>
            </a:ext>
          </a:extLst>
        </xdr:cNvPr>
        <xdr:cNvSpPr txBox="1"/>
      </xdr:nvSpPr>
      <xdr:spPr>
        <a:xfrm>
          <a:off x="1685925" y="466725"/>
          <a:ext cx="10001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1100">
              <a:latin typeface="Arial" panose="020B0604020202020204" pitchFamily="34" charset="0"/>
              <a:cs typeface="Arial" panose="020B0604020202020204" pitchFamily="34" charset="0"/>
            </a:rPr>
            <a:t>Monthly</a:t>
          </a:r>
          <a:r>
            <a:rPr lang="en-IN" sz="1100" baseline="0">
              <a:latin typeface="Arial" panose="020B0604020202020204" pitchFamily="34" charset="0"/>
              <a:cs typeface="Arial" panose="020B0604020202020204" pitchFamily="34" charset="0"/>
            </a:rPr>
            <a:t> Report</a:t>
          </a:r>
        </a:p>
      </xdr:txBody>
    </xdr:sp>
    <xdr:clientData/>
  </xdr:twoCellAnchor>
  <xdr:twoCellAnchor editAs="absolute">
    <xdr:from>
      <xdr:col>1</xdr:col>
      <xdr:colOff>314325</xdr:colOff>
      <xdr:row>1</xdr:row>
      <xdr:rowOff>19051</xdr:rowOff>
    </xdr:from>
    <xdr:to>
      <xdr:col>5</xdr:col>
      <xdr:colOff>542925</xdr:colOff>
      <xdr:row>1</xdr:row>
      <xdr:rowOff>182301</xdr:rowOff>
    </xdr:to>
    <xdr:sp macro="" textlink="">
      <xdr:nvSpPr>
        <xdr:cNvPr id="36" name="TextBox 35">
          <a:extLst>
            <a:ext uri="{FF2B5EF4-FFF2-40B4-BE49-F238E27FC236}">
              <a16:creationId xmlns:a16="http://schemas.microsoft.com/office/drawing/2014/main" id="{8F88B549-2A67-4FEB-8168-4F65E0C70D93}"/>
            </a:ext>
          </a:extLst>
        </xdr:cNvPr>
        <xdr:cNvSpPr txBox="1"/>
      </xdr:nvSpPr>
      <xdr:spPr>
        <a:xfrm>
          <a:off x="923925" y="209551"/>
          <a:ext cx="2667000" cy="16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1100">
              <a:latin typeface="Arial Rounded MT Bold" panose="020F0704030504030204" pitchFamily="34" charset="0"/>
            </a:rPr>
            <a:t>Hospital Emergency Room Dashboard</a:t>
          </a:r>
        </a:p>
      </xdr:txBody>
    </xdr:sp>
    <xdr:clientData/>
  </xdr:twoCellAnchor>
  <xdr:twoCellAnchor editAs="absolute">
    <xdr:from>
      <xdr:col>2</xdr:col>
      <xdr:colOff>400051</xdr:colOff>
      <xdr:row>5</xdr:row>
      <xdr:rowOff>13094</xdr:rowOff>
    </xdr:from>
    <xdr:to>
      <xdr:col>3</xdr:col>
      <xdr:colOff>323851</xdr:colOff>
      <xdr:row>6</xdr:row>
      <xdr:rowOff>64286</xdr:rowOff>
    </xdr:to>
    <xdr:sp macro="" textlink="Pivot_Reports!B6">
      <xdr:nvSpPr>
        <xdr:cNvPr id="37" name="TextBox 36">
          <a:extLst>
            <a:ext uri="{FF2B5EF4-FFF2-40B4-BE49-F238E27FC236}">
              <a16:creationId xmlns:a16="http://schemas.microsoft.com/office/drawing/2014/main" id="{8B038558-24DC-0EA7-934E-4D4A331C457C}"/>
            </a:ext>
          </a:extLst>
        </xdr:cNvPr>
        <xdr:cNvSpPr txBox="1"/>
      </xdr:nvSpPr>
      <xdr:spPr>
        <a:xfrm>
          <a:off x="1619251" y="965594"/>
          <a:ext cx="533400" cy="24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fld id="{AD75E15C-EC28-40BB-B4A4-0C01E90369B4}" type="TxLink">
            <a:rPr lang="en-US" sz="1600" b="1" i="0" u="none" strike="noStrike" baseline="0">
              <a:solidFill>
                <a:srgbClr val="000000"/>
              </a:solidFill>
              <a:latin typeface="Calibri"/>
              <a:ea typeface="Calibri"/>
              <a:cs typeface="Calibri"/>
            </a:rPr>
            <a:pPr/>
            <a:t>513</a:t>
          </a:fld>
          <a:endParaRPr lang="en-IN" sz="1600" b="1" baseline="0">
            <a:latin typeface="Arial" panose="020B0604020202020204" pitchFamily="34" charset="0"/>
            <a:cs typeface="Arial" panose="020B0604020202020204" pitchFamily="34" charset="0"/>
          </a:endParaRPr>
        </a:p>
      </xdr:txBody>
    </xdr:sp>
    <xdr:clientData/>
  </xdr:twoCellAnchor>
  <xdr:twoCellAnchor editAs="absolute">
    <xdr:from>
      <xdr:col>2</xdr:col>
      <xdr:colOff>302924</xdr:colOff>
      <xdr:row>6</xdr:row>
      <xdr:rowOff>160860</xdr:rowOff>
    </xdr:from>
    <xdr:to>
      <xdr:col>3</xdr:col>
      <xdr:colOff>479136</xdr:colOff>
      <xdr:row>7</xdr:row>
      <xdr:rowOff>88277</xdr:rowOff>
    </xdr:to>
    <xdr:sp macro="" textlink="">
      <xdr:nvSpPr>
        <xdr:cNvPr id="38" name="TextBox 37">
          <a:extLst>
            <a:ext uri="{FF2B5EF4-FFF2-40B4-BE49-F238E27FC236}">
              <a16:creationId xmlns:a16="http://schemas.microsoft.com/office/drawing/2014/main" id="{86B0A0B2-A701-3B14-426E-76D82020D978}"/>
            </a:ext>
          </a:extLst>
        </xdr:cNvPr>
        <xdr:cNvSpPr txBox="1"/>
      </xdr:nvSpPr>
      <xdr:spPr>
        <a:xfrm>
          <a:off x="1522124" y="1303860"/>
          <a:ext cx="785812"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No. of Patients</a:t>
          </a:r>
        </a:p>
      </xdr:txBody>
    </xdr:sp>
    <xdr:clientData/>
  </xdr:twoCellAnchor>
  <xdr:twoCellAnchor editAs="absolute">
    <xdr:from>
      <xdr:col>4</xdr:col>
      <xdr:colOff>600076</xdr:colOff>
      <xdr:row>5</xdr:row>
      <xdr:rowOff>13094</xdr:rowOff>
    </xdr:from>
    <xdr:to>
      <xdr:col>5</xdr:col>
      <xdr:colOff>523876</xdr:colOff>
      <xdr:row>6</xdr:row>
      <xdr:rowOff>73047</xdr:rowOff>
    </xdr:to>
    <xdr:sp macro="" textlink="Pivot_Reports!B13">
      <xdr:nvSpPr>
        <xdr:cNvPr id="39" name="TextBox 38">
          <a:extLst>
            <a:ext uri="{FF2B5EF4-FFF2-40B4-BE49-F238E27FC236}">
              <a16:creationId xmlns:a16="http://schemas.microsoft.com/office/drawing/2014/main" id="{6EAE2056-0C53-603C-9B6D-4BF1D8C91B5E}"/>
            </a:ext>
          </a:extLst>
        </xdr:cNvPr>
        <xdr:cNvSpPr txBox="1"/>
      </xdr:nvSpPr>
      <xdr:spPr>
        <a:xfrm>
          <a:off x="3038476" y="965594"/>
          <a:ext cx="533400" cy="25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fld id="{81E17BAD-E0ED-42FC-B8B6-4B40AE56E5ED}" type="TxLink">
            <a:rPr lang="en-US" sz="1600" b="1" i="0" u="none" strike="noStrike" baseline="0">
              <a:solidFill>
                <a:srgbClr val="000000"/>
              </a:solidFill>
              <a:latin typeface="Calibri"/>
              <a:ea typeface="Calibri"/>
              <a:cs typeface="Calibri"/>
            </a:rPr>
            <a:pPr/>
            <a:t>36.32</a:t>
          </a:fld>
          <a:endParaRPr lang="en-IN" sz="1600" b="1" baseline="0">
            <a:latin typeface="Arial" panose="020B0604020202020204" pitchFamily="34" charset="0"/>
            <a:cs typeface="Arial" panose="020B0604020202020204" pitchFamily="34" charset="0"/>
          </a:endParaRPr>
        </a:p>
      </xdr:txBody>
    </xdr:sp>
    <xdr:clientData/>
  </xdr:twoCellAnchor>
  <xdr:twoCellAnchor editAs="absolute">
    <xdr:from>
      <xdr:col>4</xdr:col>
      <xdr:colOff>295276</xdr:colOff>
      <xdr:row>6</xdr:row>
      <xdr:rowOff>142875</xdr:rowOff>
    </xdr:from>
    <xdr:to>
      <xdr:col>6</xdr:col>
      <xdr:colOff>209550</xdr:colOff>
      <xdr:row>7</xdr:row>
      <xdr:rowOff>70292</xdr:rowOff>
    </xdr:to>
    <xdr:sp macro="" textlink="">
      <xdr:nvSpPr>
        <xdr:cNvPr id="40" name="TextBox 39">
          <a:extLst>
            <a:ext uri="{FF2B5EF4-FFF2-40B4-BE49-F238E27FC236}">
              <a16:creationId xmlns:a16="http://schemas.microsoft.com/office/drawing/2014/main" id="{E5D3E33C-0E4C-FB90-4519-ED0F5A915E2D}"/>
            </a:ext>
          </a:extLst>
        </xdr:cNvPr>
        <xdr:cNvSpPr txBox="1"/>
      </xdr:nvSpPr>
      <xdr:spPr>
        <a:xfrm>
          <a:off x="2733676" y="1285875"/>
          <a:ext cx="1133474"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Avg. Patient Waittime</a:t>
          </a:r>
        </a:p>
      </xdr:txBody>
    </xdr:sp>
    <xdr:clientData/>
  </xdr:twoCellAnchor>
  <xdr:twoCellAnchor editAs="absolute">
    <xdr:from>
      <xdr:col>7</xdr:col>
      <xdr:colOff>114301</xdr:colOff>
      <xdr:row>5</xdr:row>
      <xdr:rowOff>13094</xdr:rowOff>
    </xdr:from>
    <xdr:to>
      <xdr:col>8</xdr:col>
      <xdr:colOff>38101</xdr:colOff>
      <xdr:row>6</xdr:row>
      <xdr:rowOff>73047</xdr:rowOff>
    </xdr:to>
    <xdr:sp macro="" textlink="Pivot_Reports!B18">
      <xdr:nvSpPr>
        <xdr:cNvPr id="41" name="TextBox 40">
          <a:extLst>
            <a:ext uri="{FF2B5EF4-FFF2-40B4-BE49-F238E27FC236}">
              <a16:creationId xmlns:a16="http://schemas.microsoft.com/office/drawing/2014/main" id="{1E3F3A2B-0E3B-E9E4-B957-34E7BD4F4191}"/>
            </a:ext>
          </a:extLst>
        </xdr:cNvPr>
        <xdr:cNvSpPr txBox="1"/>
      </xdr:nvSpPr>
      <xdr:spPr>
        <a:xfrm>
          <a:off x="4381501" y="965594"/>
          <a:ext cx="533400" cy="25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fld id="{219E4261-1220-4CB8-B904-A562BAD52F82}" type="TxLink">
            <a:rPr lang="en-US" sz="1600" b="1" i="0" u="none" strike="noStrike" baseline="0">
              <a:solidFill>
                <a:srgbClr val="000000"/>
              </a:solidFill>
              <a:latin typeface="Calibri"/>
              <a:ea typeface="Calibri"/>
              <a:cs typeface="Calibri"/>
            </a:rPr>
            <a:pPr/>
            <a:t>4.96</a:t>
          </a:fld>
          <a:endParaRPr lang="en-IN" sz="1600" b="1" baseline="0">
            <a:latin typeface="Arial" panose="020B0604020202020204" pitchFamily="34" charset="0"/>
            <a:cs typeface="Arial" panose="020B0604020202020204" pitchFamily="34" charset="0"/>
          </a:endParaRPr>
        </a:p>
      </xdr:txBody>
    </xdr:sp>
    <xdr:clientData/>
  </xdr:twoCellAnchor>
  <xdr:twoCellAnchor editAs="absolute">
    <xdr:from>
      <xdr:col>6</xdr:col>
      <xdr:colOff>363141</xdr:colOff>
      <xdr:row>6</xdr:row>
      <xdr:rowOff>143397</xdr:rowOff>
    </xdr:from>
    <xdr:to>
      <xdr:col>8</xdr:col>
      <xdr:colOff>353616</xdr:colOff>
      <xdr:row>7</xdr:row>
      <xdr:rowOff>95250</xdr:rowOff>
    </xdr:to>
    <xdr:sp macro="" textlink="">
      <xdr:nvSpPr>
        <xdr:cNvPr id="42" name="TextBox 41">
          <a:extLst>
            <a:ext uri="{FF2B5EF4-FFF2-40B4-BE49-F238E27FC236}">
              <a16:creationId xmlns:a16="http://schemas.microsoft.com/office/drawing/2014/main" id="{07C91251-60E9-8D7D-ACCC-D09CB9E0F605}"/>
            </a:ext>
          </a:extLst>
        </xdr:cNvPr>
        <xdr:cNvSpPr txBox="1"/>
      </xdr:nvSpPr>
      <xdr:spPr>
        <a:xfrm>
          <a:off x="4020741" y="1286397"/>
          <a:ext cx="1209675" cy="14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IN" sz="800" b="1" baseline="0">
              <a:latin typeface="Arial" panose="020B0604020202020204" pitchFamily="34" charset="0"/>
              <a:cs typeface="Arial" panose="020B0604020202020204" pitchFamily="34" charset="0"/>
            </a:rPr>
            <a:t>Avg. Patient Satisfaction</a:t>
          </a:r>
        </a:p>
      </xdr:txBody>
    </xdr:sp>
    <xdr:clientData/>
  </xdr:twoCellAnchor>
  <xdr:twoCellAnchor editAs="oneCell">
    <xdr:from>
      <xdr:col>3</xdr:col>
      <xdr:colOff>255624</xdr:colOff>
      <xdr:row>4</xdr:row>
      <xdr:rowOff>104813</xdr:rowOff>
    </xdr:from>
    <xdr:to>
      <xdr:col>4</xdr:col>
      <xdr:colOff>23812</xdr:colOff>
      <xdr:row>6</xdr:row>
      <xdr:rowOff>103188</xdr:rowOff>
    </xdr:to>
    <xdr:pic>
      <xdr:nvPicPr>
        <xdr:cNvPr id="44" name="Graphic 43" descr="User">
          <a:extLst>
            <a:ext uri="{FF2B5EF4-FFF2-40B4-BE49-F238E27FC236}">
              <a16:creationId xmlns:a16="http://schemas.microsoft.com/office/drawing/2014/main" id="{8BDB0638-FD5F-D004-D255-4DFA3F9492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4424" y="866813"/>
          <a:ext cx="377788" cy="379375"/>
        </a:xfrm>
        <a:prstGeom prst="rect">
          <a:avLst/>
        </a:prstGeom>
      </xdr:spPr>
    </xdr:pic>
    <xdr:clientData/>
  </xdr:twoCellAnchor>
  <xdr:twoCellAnchor editAs="oneCell">
    <xdr:from>
      <xdr:col>5</xdr:col>
      <xdr:colOff>492124</xdr:colOff>
      <xdr:row>4</xdr:row>
      <xdr:rowOff>158750</xdr:rowOff>
    </xdr:from>
    <xdr:to>
      <xdr:col>6</xdr:col>
      <xdr:colOff>199213</xdr:colOff>
      <xdr:row>6</xdr:row>
      <xdr:rowOff>87313</xdr:rowOff>
    </xdr:to>
    <xdr:pic>
      <xdr:nvPicPr>
        <xdr:cNvPr id="46" name="Graphic 45" descr="Hourglass">
          <a:extLst>
            <a:ext uri="{FF2B5EF4-FFF2-40B4-BE49-F238E27FC236}">
              <a16:creationId xmlns:a16="http://schemas.microsoft.com/office/drawing/2014/main" id="{ADF54452-8D54-9E34-77D4-2F5F60BCCA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40124" y="920750"/>
          <a:ext cx="316689" cy="309563"/>
        </a:xfrm>
        <a:prstGeom prst="rect">
          <a:avLst/>
        </a:prstGeom>
      </xdr:spPr>
    </xdr:pic>
    <xdr:clientData/>
  </xdr:twoCellAnchor>
  <xdr:twoCellAnchor editAs="oneCell">
    <xdr:from>
      <xdr:col>7</xdr:col>
      <xdr:colOff>563561</xdr:colOff>
      <xdr:row>4</xdr:row>
      <xdr:rowOff>134937</xdr:rowOff>
    </xdr:from>
    <xdr:to>
      <xdr:col>8</xdr:col>
      <xdr:colOff>285750</xdr:colOff>
      <xdr:row>6</xdr:row>
      <xdr:rowOff>87313</xdr:rowOff>
    </xdr:to>
    <xdr:pic>
      <xdr:nvPicPr>
        <xdr:cNvPr id="48" name="Graphic 47" descr="Thumbs up sign">
          <a:extLst>
            <a:ext uri="{FF2B5EF4-FFF2-40B4-BE49-F238E27FC236}">
              <a16:creationId xmlns:a16="http://schemas.microsoft.com/office/drawing/2014/main" id="{6DF30ED0-C567-A4F1-2F0F-14FE070B10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30761" y="896937"/>
          <a:ext cx="331789" cy="333376"/>
        </a:xfrm>
        <a:prstGeom prst="rect">
          <a:avLst/>
        </a:prstGeom>
      </xdr:spPr>
    </xdr:pic>
    <xdr:clientData/>
  </xdr:twoCellAnchor>
  <xdr:twoCellAnchor editAs="oneCell">
    <xdr:from>
      <xdr:col>0</xdr:col>
      <xdr:colOff>199159</xdr:colOff>
      <xdr:row>4</xdr:row>
      <xdr:rowOff>60614</xdr:rowOff>
    </xdr:from>
    <xdr:to>
      <xdr:col>1</xdr:col>
      <xdr:colOff>562840</xdr:colOff>
      <xdr:row>20</xdr:row>
      <xdr:rowOff>72614</xdr:rowOff>
    </xdr:to>
    <mc:AlternateContent xmlns:mc="http://schemas.openxmlformats.org/markup-compatibility/2006">
      <mc:Choice xmlns:a14="http://schemas.microsoft.com/office/drawing/2010/main" Requires="a14">
        <xdr:graphicFrame macro="">
          <xdr:nvGraphicFramePr>
            <xdr:cNvPr id="49" name="Date (Month)">
              <a:extLst>
                <a:ext uri="{FF2B5EF4-FFF2-40B4-BE49-F238E27FC236}">
                  <a16:creationId xmlns:a16="http://schemas.microsoft.com/office/drawing/2014/main" id="{E5E0A3C4-C8FE-4495-9BFC-B92208B33D3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99159" y="822614"/>
              <a:ext cx="971816" cy="30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519547</xdr:colOff>
      <xdr:row>7</xdr:row>
      <xdr:rowOff>9525</xdr:rowOff>
    </xdr:from>
    <xdr:to>
      <xdr:col>4</xdr:col>
      <xdr:colOff>164523</xdr:colOff>
      <xdr:row>11</xdr:row>
      <xdr:rowOff>40822</xdr:rowOff>
    </xdr:to>
    <xdr:graphicFrame macro="">
      <xdr:nvGraphicFramePr>
        <xdr:cNvPr id="50" name="Chart 49">
          <a:hlinkClick xmlns:r="http://schemas.openxmlformats.org/officeDocument/2006/relationships" r:id="rId9"/>
          <a:extLst>
            <a:ext uri="{FF2B5EF4-FFF2-40B4-BE49-F238E27FC236}">
              <a16:creationId xmlns:a16="http://schemas.microsoft.com/office/drawing/2014/main" id="{A2446797-C62D-4D16-93A1-B3C6B4962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47624</xdr:colOff>
      <xdr:row>7</xdr:row>
      <xdr:rowOff>47625</xdr:rowOff>
    </xdr:from>
    <xdr:to>
      <xdr:col>6</xdr:col>
      <xdr:colOff>352425</xdr:colOff>
      <xdr:row>11</xdr:row>
      <xdr:rowOff>28574</xdr:rowOff>
    </xdr:to>
    <xdr:graphicFrame macro="">
      <xdr:nvGraphicFramePr>
        <xdr:cNvPr id="51" name="Chart 50">
          <a:hlinkClick xmlns:r="http://schemas.openxmlformats.org/officeDocument/2006/relationships" r:id="rId11"/>
          <a:extLst>
            <a:ext uri="{FF2B5EF4-FFF2-40B4-BE49-F238E27FC236}">
              <a16:creationId xmlns:a16="http://schemas.microsoft.com/office/drawing/2014/main" id="{AE883C96-992E-495D-A0AB-007ECA931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85726</xdr:colOff>
      <xdr:row>6</xdr:row>
      <xdr:rowOff>28574</xdr:rowOff>
    </xdr:from>
    <xdr:to>
      <xdr:col>8</xdr:col>
      <xdr:colOff>361950</xdr:colOff>
      <xdr:row>10</xdr:row>
      <xdr:rowOff>95249</xdr:rowOff>
    </xdr:to>
    <xdr:graphicFrame macro="">
      <xdr:nvGraphicFramePr>
        <xdr:cNvPr id="52" name="Chart 51">
          <a:hlinkClick xmlns:r="http://schemas.openxmlformats.org/officeDocument/2006/relationships" r:id="rId13"/>
          <a:extLst>
            <a:ext uri="{FF2B5EF4-FFF2-40B4-BE49-F238E27FC236}">
              <a16:creationId xmlns:a16="http://schemas.microsoft.com/office/drawing/2014/main" id="{ED05BE30-6C7E-4EBE-96C8-68CEC2A5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95251</xdr:colOff>
          <xdr:row>10</xdr:row>
          <xdr:rowOff>156482</xdr:rowOff>
        </xdr:from>
        <xdr:to>
          <xdr:col>8</xdr:col>
          <xdr:colOff>395655</xdr:colOff>
          <xdr:row>14</xdr:row>
          <xdr:rowOff>31303</xdr:rowOff>
        </xdr:to>
        <xdr:pic>
          <xdr:nvPicPr>
            <xdr:cNvPr id="9" name="Picture 8">
              <a:extLst>
                <a:ext uri="{FF2B5EF4-FFF2-40B4-BE49-F238E27FC236}">
                  <a16:creationId xmlns:a16="http://schemas.microsoft.com/office/drawing/2014/main" id="{6E624081-69E1-EDC4-4B01-5F3B09CC11AE}"/>
                </a:ext>
              </a:extLst>
            </xdr:cNvPr>
            <xdr:cNvPicPr>
              <a:picLocks noChangeAspect="1" noChangeArrowheads="1"/>
              <a:extLst>
                <a:ext uri="{84589F7E-364E-4C9E-8A38-B11213B215E9}">
                  <a14:cameraTool cellRange="Pivot_Reports!$B$47:$E$49" spid="_x0000_s1040"/>
                </a:ext>
              </a:extLst>
            </xdr:cNvPicPr>
          </xdr:nvPicPr>
          <xdr:blipFill>
            <a:blip xmlns:r="http://schemas.openxmlformats.org/officeDocument/2006/relationships" r:embed="rId15"/>
            <a:srcRect/>
            <a:stretch>
              <a:fillRect/>
            </a:stretch>
          </xdr:blipFill>
          <xdr:spPr bwMode="auto">
            <a:xfrm>
              <a:off x="1314451" y="2061482"/>
              <a:ext cx="3958004" cy="6368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69272</xdr:colOff>
      <xdr:row>14</xdr:row>
      <xdr:rowOff>121227</xdr:rowOff>
    </xdr:from>
    <xdr:to>
      <xdr:col>8</xdr:col>
      <xdr:colOff>375671</xdr:colOff>
      <xdr:row>19</xdr:row>
      <xdr:rowOff>183173</xdr:rowOff>
    </xdr:to>
    <xdr:graphicFrame macro="">
      <xdr:nvGraphicFramePr>
        <xdr:cNvPr id="10" name="Chart 9">
          <a:extLst>
            <a:ext uri="{FF2B5EF4-FFF2-40B4-BE49-F238E27FC236}">
              <a16:creationId xmlns:a16="http://schemas.microsoft.com/office/drawing/2014/main" id="{F02F3392-A22B-42E2-8B58-966056A20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4</xdr:col>
      <xdr:colOff>178232</xdr:colOff>
      <xdr:row>19</xdr:row>
      <xdr:rowOff>88125</xdr:rowOff>
    </xdr:from>
    <xdr:to>
      <xdr:col>6</xdr:col>
      <xdr:colOff>424294</xdr:colOff>
      <xdr:row>20</xdr:row>
      <xdr:rowOff>15542</xdr:rowOff>
    </xdr:to>
    <xdr:sp macro="" textlink="">
      <xdr:nvSpPr>
        <xdr:cNvPr id="11" name="TextBox 10">
          <a:extLst>
            <a:ext uri="{FF2B5EF4-FFF2-40B4-BE49-F238E27FC236}">
              <a16:creationId xmlns:a16="http://schemas.microsoft.com/office/drawing/2014/main" id="{FCB1EBCC-B3E8-4190-BCF0-C23FD0E71FA8}"/>
            </a:ext>
          </a:extLst>
        </xdr:cNvPr>
        <xdr:cNvSpPr txBox="1"/>
      </xdr:nvSpPr>
      <xdr:spPr>
        <a:xfrm>
          <a:off x="2616632" y="3707625"/>
          <a:ext cx="1465262"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No. of Patients by Age Group</a:t>
          </a:r>
        </a:p>
      </xdr:txBody>
    </xdr:sp>
    <xdr:clientData/>
  </xdr:twoCellAnchor>
  <xdr:twoCellAnchor editAs="absolute">
    <xdr:from>
      <xdr:col>8</xdr:col>
      <xdr:colOff>458932</xdr:colOff>
      <xdr:row>1</xdr:row>
      <xdr:rowOff>34636</xdr:rowOff>
    </xdr:from>
    <xdr:to>
      <xdr:col>11</xdr:col>
      <xdr:colOff>190500</xdr:colOff>
      <xdr:row>8</xdr:row>
      <xdr:rowOff>43295</xdr:rowOff>
    </xdr:to>
    <xdr:graphicFrame macro="">
      <xdr:nvGraphicFramePr>
        <xdr:cNvPr id="12" name="Chart 11">
          <a:extLst>
            <a:ext uri="{FF2B5EF4-FFF2-40B4-BE49-F238E27FC236}">
              <a16:creationId xmlns:a16="http://schemas.microsoft.com/office/drawing/2014/main" id="{C6EFD54F-4787-4E16-A8FF-8AA5DFC70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533400</xdr:colOff>
      <xdr:row>7</xdr:row>
      <xdr:rowOff>95250</xdr:rowOff>
    </xdr:from>
    <xdr:to>
      <xdr:col>11</xdr:col>
      <xdr:colOff>219075</xdr:colOff>
      <xdr:row>8</xdr:row>
      <xdr:rowOff>22667</xdr:rowOff>
    </xdr:to>
    <xdr:sp macro="" textlink="">
      <xdr:nvSpPr>
        <xdr:cNvPr id="15" name="TextBox 14">
          <a:extLst>
            <a:ext uri="{FF2B5EF4-FFF2-40B4-BE49-F238E27FC236}">
              <a16:creationId xmlns:a16="http://schemas.microsoft.com/office/drawing/2014/main" id="{3DB6F05C-00AE-4B84-A920-2F195BC69B83}"/>
            </a:ext>
          </a:extLst>
        </xdr:cNvPr>
        <xdr:cNvSpPr txBox="1"/>
      </xdr:nvSpPr>
      <xdr:spPr>
        <a:xfrm>
          <a:off x="5410200" y="1428750"/>
          <a:ext cx="1514475"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Patients Attended within time</a:t>
          </a:r>
        </a:p>
      </xdr:txBody>
    </xdr:sp>
    <xdr:clientData/>
  </xdr:twoCellAnchor>
  <xdr:twoCellAnchor editAs="absolute">
    <xdr:from>
      <xdr:col>11</xdr:col>
      <xdr:colOff>285751</xdr:colOff>
      <xdr:row>1</xdr:row>
      <xdr:rowOff>28575</xdr:rowOff>
    </xdr:from>
    <xdr:to>
      <xdr:col>13</xdr:col>
      <xdr:colOff>495301</xdr:colOff>
      <xdr:row>8</xdr:row>
      <xdr:rowOff>47625</xdr:rowOff>
    </xdr:to>
    <xdr:graphicFrame macro="">
      <xdr:nvGraphicFramePr>
        <xdr:cNvPr id="16" name="Chart 15">
          <a:extLst>
            <a:ext uri="{FF2B5EF4-FFF2-40B4-BE49-F238E27FC236}">
              <a16:creationId xmlns:a16="http://schemas.microsoft.com/office/drawing/2014/main" id="{1F2E3106-A755-4B3C-8675-E6A409273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457201</xdr:colOff>
      <xdr:row>7</xdr:row>
      <xdr:rowOff>85726</xdr:rowOff>
    </xdr:from>
    <xdr:to>
      <xdr:col>13</xdr:col>
      <xdr:colOff>438151</xdr:colOff>
      <xdr:row>8</xdr:row>
      <xdr:rowOff>13143</xdr:rowOff>
    </xdr:to>
    <xdr:sp macro="" textlink="">
      <xdr:nvSpPr>
        <xdr:cNvPr id="22" name="TextBox 21">
          <a:extLst>
            <a:ext uri="{FF2B5EF4-FFF2-40B4-BE49-F238E27FC236}">
              <a16:creationId xmlns:a16="http://schemas.microsoft.com/office/drawing/2014/main" id="{F85E1086-1150-468C-AA44-A6BF8B982755}"/>
            </a:ext>
          </a:extLst>
        </xdr:cNvPr>
        <xdr:cNvSpPr txBox="1"/>
      </xdr:nvSpPr>
      <xdr:spPr>
        <a:xfrm>
          <a:off x="7162801" y="1419226"/>
          <a:ext cx="1200150"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Gender wise Analysis</a:t>
          </a:r>
        </a:p>
      </xdr:txBody>
    </xdr:sp>
    <xdr:clientData/>
  </xdr:twoCellAnchor>
  <xdr:twoCellAnchor>
    <xdr:from>
      <xdr:col>8</xdr:col>
      <xdr:colOff>523875</xdr:colOff>
      <xdr:row>8</xdr:row>
      <xdr:rowOff>171450</xdr:rowOff>
    </xdr:from>
    <xdr:to>
      <xdr:col>13</xdr:col>
      <xdr:colOff>371475</xdr:colOff>
      <xdr:row>18</xdr:row>
      <xdr:rowOff>142875</xdr:rowOff>
    </xdr:to>
    <xdr:graphicFrame macro="">
      <xdr:nvGraphicFramePr>
        <xdr:cNvPr id="23" name="Chart 22">
          <a:extLst>
            <a:ext uri="{FF2B5EF4-FFF2-40B4-BE49-F238E27FC236}">
              <a16:creationId xmlns:a16="http://schemas.microsoft.com/office/drawing/2014/main" id="{723B7DBA-F34B-446F-97B5-6E0C9CD2D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9</xdr:col>
      <xdr:colOff>495300</xdr:colOff>
      <xdr:row>19</xdr:row>
      <xdr:rowOff>0</xdr:rowOff>
    </xdr:from>
    <xdr:to>
      <xdr:col>12</xdr:col>
      <xdr:colOff>581025</xdr:colOff>
      <xdr:row>19</xdr:row>
      <xdr:rowOff>117917</xdr:rowOff>
    </xdr:to>
    <xdr:sp macro="" textlink="">
      <xdr:nvSpPr>
        <xdr:cNvPr id="24" name="TextBox 23">
          <a:extLst>
            <a:ext uri="{FF2B5EF4-FFF2-40B4-BE49-F238E27FC236}">
              <a16:creationId xmlns:a16="http://schemas.microsoft.com/office/drawing/2014/main" id="{60DF94B5-41A4-4831-B441-038A13B01A54}"/>
            </a:ext>
          </a:extLst>
        </xdr:cNvPr>
        <xdr:cNvSpPr txBox="1"/>
      </xdr:nvSpPr>
      <xdr:spPr>
        <a:xfrm>
          <a:off x="5981700" y="3619500"/>
          <a:ext cx="1914525" cy="11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800" b="1" baseline="0">
              <a:latin typeface="Arial" panose="020B0604020202020204" pitchFamily="34" charset="0"/>
              <a:cs typeface="Arial" panose="020B0604020202020204" pitchFamily="34" charset="0"/>
            </a:rPr>
            <a:t>No. of Patients by Department Referral</a:t>
          </a:r>
        </a:p>
      </xdr:txBody>
    </xdr:sp>
    <xdr:clientData/>
  </xdr:twoCellAnchor>
  <xdr:twoCellAnchor editAs="oneCell">
    <xdr:from>
      <xdr:col>6</xdr:col>
      <xdr:colOff>200025</xdr:colOff>
      <xdr:row>0</xdr:row>
      <xdr:rowOff>171450</xdr:rowOff>
    </xdr:from>
    <xdr:to>
      <xdr:col>8</xdr:col>
      <xdr:colOff>333375</xdr:colOff>
      <xdr:row>3</xdr:row>
      <xdr:rowOff>47626</xdr:rowOff>
    </xdr:to>
    <mc:AlternateContent xmlns:mc="http://schemas.openxmlformats.org/markup-compatibility/2006">
      <mc:Choice xmlns:a14="http://schemas.microsoft.com/office/drawing/2010/main" Requires="a14">
        <xdr:graphicFrame macro="">
          <xdr:nvGraphicFramePr>
            <xdr:cNvPr id="25" name="Date (Year)">
              <a:extLst>
                <a:ext uri="{FF2B5EF4-FFF2-40B4-BE49-F238E27FC236}">
                  <a16:creationId xmlns:a16="http://schemas.microsoft.com/office/drawing/2014/main" id="{3DA93816-E89A-48E3-B9ED-FAF2D3F09A3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848833" y="171450"/>
              <a:ext cx="1349619" cy="44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590550</xdr:colOff>
      <xdr:row>17</xdr:row>
      <xdr:rowOff>161925</xdr:rowOff>
    </xdr:to>
    <xdr:graphicFrame macro="">
      <xdr:nvGraphicFramePr>
        <xdr:cNvPr id="2" name="Chart 1">
          <a:extLst>
            <a:ext uri="{FF2B5EF4-FFF2-40B4-BE49-F238E27FC236}">
              <a16:creationId xmlns:a16="http://schemas.microsoft.com/office/drawing/2014/main" id="{94FE00CB-0DDC-4745-A777-B171F1D0D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180975</xdr:colOff>
      <xdr:row>18</xdr:row>
      <xdr:rowOff>142875</xdr:rowOff>
    </xdr:from>
    <xdr:to>
      <xdr:col>12</xdr:col>
      <xdr:colOff>9525</xdr:colOff>
      <xdr:row>19</xdr:row>
      <xdr:rowOff>180975</xdr:rowOff>
    </xdr:to>
    <xdr:sp macro="" textlink="">
      <xdr:nvSpPr>
        <xdr:cNvPr id="3" name="TextBox 2">
          <a:extLst>
            <a:ext uri="{FF2B5EF4-FFF2-40B4-BE49-F238E27FC236}">
              <a16:creationId xmlns:a16="http://schemas.microsoft.com/office/drawing/2014/main" id="{6A1DC681-8468-20DA-76E5-8F097A75D43E}"/>
            </a:ext>
          </a:extLst>
        </xdr:cNvPr>
        <xdr:cNvSpPr txBox="1"/>
      </xdr:nvSpPr>
      <xdr:spPr>
        <a:xfrm>
          <a:off x="1400175" y="3571875"/>
          <a:ext cx="5924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bg1"/>
              </a:solidFill>
            </a:rPr>
            <a:t>Showing daily trend with an area sparkline</a:t>
          </a:r>
          <a:r>
            <a:rPr lang="en-IN" sz="1100" b="1" baseline="0">
              <a:solidFill>
                <a:schemeClr val="bg1"/>
              </a:solidFill>
            </a:rPr>
            <a:t> to spot patterns like busy days or seasonal trends</a:t>
          </a:r>
          <a:endParaRPr lang="en-IN" sz="1100" b="1">
            <a:solidFill>
              <a:schemeClr val="bg1"/>
            </a:solidFill>
          </a:endParaRPr>
        </a:p>
      </xdr:txBody>
    </xdr:sp>
    <xdr:clientData/>
  </xdr:twoCellAnchor>
  <xdr:twoCellAnchor editAs="absolute">
    <xdr:from>
      <xdr:col>0</xdr:col>
      <xdr:colOff>66675</xdr:colOff>
      <xdr:row>0</xdr:row>
      <xdr:rowOff>0</xdr:rowOff>
    </xdr:from>
    <xdr:to>
      <xdr:col>0</xdr:col>
      <xdr:colOff>571500</xdr:colOff>
      <xdr:row>2</xdr:row>
      <xdr:rowOff>123825</xdr:rowOff>
    </xdr:to>
    <xdr:pic>
      <xdr:nvPicPr>
        <xdr:cNvPr id="5" name="Graphic 4" descr="Home">
          <a:hlinkClick xmlns:r="http://schemas.openxmlformats.org/officeDocument/2006/relationships" r:id="rId2"/>
          <a:extLst>
            <a:ext uri="{FF2B5EF4-FFF2-40B4-BE49-F238E27FC236}">
              <a16:creationId xmlns:a16="http://schemas.microsoft.com/office/drawing/2014/main" id="{A2B191DC-24AF-E1C9-0798-0FC0C26042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 y="0"/>
          <a:ext cx="504825" cy="504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9525</xdr:rowOff>
    </xdr:from>
    <xdr:to>
      <xdr:col>17</xdr:col>
      <xdr:colOff>66675</xdr:colOff>
      <xdr:row>17</xdr:row>
      <xdr:rowOff>161925</xdr:rowOff>
    </xdr:to>
    <xdr:graphicFrame macro="">
      <xdr:nvGraphicFramePr>
        <xdr:cNvPr id="2" name="Chart 1">
          <a:extLst>
            <a:ext uri="{FF2B5EF4-FFF2-40B4-BE49-F238E27FC236}">
              <a16:creationId xmlns:a16="http://schemas.microsoft.com/office/drawing/2014/main" id="{2296BD55-DE52-4D1E-97CE-0E3D61EF9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66675</xdr:colOff>
      <xdr:row>0</xdr:row>
      <xdr:rowOff>28575</xdr:rowOff>
    </xdr:from>
    <xdr:to>
      <xdr:col>1</xdr:col>
      <xdr:colOff>9525</xdr:colOff>
      <xdr:row>3</xdr:row>
      <xdr:rowOff>9525</xdr:rowOff>
    </xdr:to>
    <xdr:pic>
      <xdr:nvPicPr>
        <xdr:cNvPr id="4" name="Graphic 3" descr="Home">
          <a:hlinkClick xmlns:r="http://schemas.openxmlformats.org/officeDocument/2006/relationships" r:id="rId2"/>
          <a:extLst>
            <a:ext uri="{FF2B5EF4-FFF2-40B4-BE49-F238E27FC236}">
              <a16:creationId xmlns:a16="http://schemas.microsoft.com/office/drawing/2014/main" id="{D37E5D04-6D61-756E-5D71-66DFA2AB24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 y="28575"/>
          <a:ext cx="552450" cy="552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409574</xdr:colOff>
      <xdr:row>16</xdr:row>
      <xdr:rowOff>114300</xdr:rowOff>
    </xdr:to>
    <xdr:graphicFrame macro="">
      <xdr:nvGraphicFramePr>
        <xdr:cNvPr id="2" name="Chart 1">
          <a:extLst>
            <a:ext uri="{FF2B5EF4-FFF2-40B4-BE49-F238E27FC236}">
              <a16:creationId xmlns:a16="http://schemas.microsoft.com/office/drawing/2014/main" id="{75E17404-94F1-43CD-B49C-531352FFC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0.0103</cdr:x>
      <cdr:y>0</cdr:y>
    </cdr:from>
    <cdr:to>
      <cdr:x>0.07777</cdr:x>
      <cdr:y>0.20382</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46B64ED-ECC6-CBF1-3B59-DCEE198E45D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425" y="0"/>
          <a:ext cx="644525" cy="6445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7870374" backgroundQuery="1" createdVersion="8" refreshedVersion="8" minRefreshableVersion="3" recordCount="0" supportSubquery="1" supportAdvancedDrill="1" xr:uid="{AAA82E97-11C4-46CF-93F9-23D337BB7285}">
  <cacheSource type="external" connectionId="3"/>
  <cacheFields count="4">
    <cacheField name="[Measures].[Distinct Count of Patient Id]" caption="Distinct Count of Patient Id" numFmtId="0" hierarchy="23"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7986112" backgroundQuery="1" createdVersion="8" refreshedVersion="8" minRefreshableVersion="3" recordCount="0" supportSubquery="1" supportAdvancedDrill="1" xr:uid="{B95E65D9-864D-400E-8C46-954386B781F7}">
  <cacheSource type="external" connectionId="3"/>
  <cacheFields count="3">
    <cacheField name="[Measures].[Distinct Count of Patient Id]" caption="Distinct 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821759" backgroundQuery="1" createdVersion="8" refreshedVersion="8" minRefreshableVersion="3" recordCount="0" supportSubquery="1" supportAdvancedDrill="1" xr:uid="{209A1D86-69A7-4A51-81E6-D47B852C8195}">
  <cacheSource type="external" connectionId="3"/>
  <cacheFields count="3">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8333335" backgroundQuery="1" createdVersion="8" refreshedVersion="8" minRefreshableVersion="3" recordCount="0" supportSubquery="1" supportAdvancedDrill="1" xr:uid="{87F28469-F8CD-4953-AAED-23489404FDF0}">
  <cacheSource type="external" connectionId="3"/>
  <cacheFields count="3">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8912036" backgroundQuery="1" createdVersion="8" refreshedVersion="8" minRefreshableVersion="3" recordCount="0" supportSubquery="1" supportAdvancedDrill="1" xr:uid="{687A3DA8-F6B7-4828-82F7-2DF7E478D26A}">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9490744" backgroundQuery="1" createdVersion="8" refreshedVersion="8" minRefreshableVersion="3" recordCount="0" supportSubquery="1" supportAdvancedDrill="1" xr:uid="{8239CC62-9359-4636-B834-40E7F062890C}">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59953706" backgroundQuery="1" createdVersion="8" refreshedVersion="8" minRefreshableVersion="3" recordCount="0" supportSubquery="1" supportAdvancedDrill="1" xr:uid="{51B626A9-2B2A-44B2-BD33-EB3E7CFFE06D}">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2"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60532406" backgroundQuery="1" createdVersion="8" refreshedVersion="8" minRefreshableVersion="3" recordCount="0" supportSubquery="1" supportAdvancedDrill="1" xr:uid="{D6107453-73FE-44A3-9B76-2331FAEF0641}">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61111114" backgroundQuery="1" createdVersion="8" refreshedVersion="8" minRefreshableVersion="3" recordCount="0" supportSubquery="1" supportAdvancedDrill="1" xr:uid="{490D8E12-F023-48AB-B2CF-0B3D2EE28F14}">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6"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61689815" backgroundQuery="1" createdVersion="8" refreshedVersion="8" minRefreshableVersion="3" recordCount="0" supportSubquery="1" supportAdvancedDrill="1" xr:uid="{1F8971A9-597A-446E-BBAB-1A0FC2CEBBA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62152777" backgroundQuery="1" createdVersion="8" refreshedVersion="8" minRefreshableVersion="3" recordCount="0" supportSubquery="1" supportAdvancedDrill="1" xr:uid="{D6C0A3F4-CA9A-430E-8B0D-D9DB02EFBAC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904562731484" backgroundQuery="1" createdVersion="8" refreshedVersion="8" minRefreshableVersion="3" recordCount="0" supportSubquery="1" supportAdvancedDrill="1" xr:uid="{6BF29A46-6594-489C-A95C-DE0F441A5090}">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54.896876620369" backgroundQuery="1" createdVersion="3" refreshedVersion="8" minRefreshableVersion="3" recordCount="0" supportSubquery="1" supportAdvancedDrill="1" xr:uid="{AE1B898D-185F-4500-BFB0-CEF640EBBD4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3012226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8FDB6-380D-4C93-9840-B178D34EBA88}" name="PivotTable12" cacheId="1955"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35">
  <location ref="K48:K50"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2">
    <format dxfId="536">
      <pivotArea grandRow="1" outline="0" collapsedLevelsAreSubtotals="1" fieldPosition="0"/>
    </format>
    <format dxfId="537">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BD472-729B-4F73-B43B-051C75332207}" name="PivotTable11" cacheId="1952"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49">
  <location ref="Q41:R5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548">
      <pivotArea grandRow="1" outline="0" collapsedLevelsAreSubtotals="1" fieldPosition="0"/>
    </format>
    <format dxfId="549">
      <pivotArea outline="0" collapsedLevelsAreSubtotals="1" fieldPosition="0"/>
    </format>
  </formats>
  <chartFormats count="1">
    <chartFormat chart="4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D7FF8-C87A-4819-B244-078CE4A60D11}" name="PivotTable10" cacheId="1949"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45">
  <location ref="N41:O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50">
      <pivotArea grandRow="1" outline="0" collapsedLevelsAreSubtotals="1" fieldPosition="0"/>
    </format>
    <format dxfId="551">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26C4A6-17C9-4CB1-B5EC-F823A30B01C4}" name="PivotTable9" cacheId="1946"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35">
  <location ref="K41:L4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2">
    <format dxfId="553">
      <pivotArea grandRow="1" outline="0" collapsedLevelsAreSubtotals="1" fieldPosition="0"/>
    </format>
    <format dxfId="552">
      <pivotArea outline="0" collapsedLevelsAreSubtotals="1" fieldPosition="0"/>
    </format>
  </formats>
  <chartFormats count="6">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2" count="1" selected="0">
            <x v="0"/>
          </reference>
        </references>
      </pivotArea>
    </chartFormat>
    <chartFormat chart="25" format="3">
      <pivotArea type="data" outline="0" fieldPosition="0">
        <references count="2">
          <reference field="4294967294" count="1" selected="0">
            <x v="0"/>
          </reference>
          <reference field="2"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ABD50B-B55B-4DAB-960E-A2DD5E34E9A6}" name="PivotTable8" cacheId="1943"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19">
  <location ref="G41:H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555">
      <pivotArea outline="0" collapsedLevelsAreSubtotals="1" fieldPosition="0"/>
    </format>
    <format dxfId="556">
      <pivotArea grandRow="1" outline="0" collapsedLevelsAreSubtotals="1" fieldPosition="0"/>
    </format>
    <format dxfId="554">
      <pivotArea collapsedLevelsAreSubtotals="1" fieldPosition="0">
        <references count="1">
          <reference field="1" count="0"/>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12F3DD-6FB1-4ECE-8EB3-AC9459052557}" name="PivotTable7" cacheId="1940"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chartFormat="15">
  <location ref="B41:D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 of Total"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560">
      <pivotArea outline="0" collapsedLevelsAreSubtotals="1" fieldPosition="0"/>
    </format>
    <format dxfId="559">
      <pivotArea collapsedLevelsAreSubtotals="1" fieldPosition="0">
        <references count="1">
          <reference field="2" count="0"/>
        </references>
      </pivotArea>
    </format>
    <format dxfId="558">
      <pivotArea grandRow="1" outline="0" collapsedLevelsAreSubtotals="1" fieldPosition="0"/>
    </format>
    <format dxfId="557">
      <pivotArea outline="0" fieldPosition="0">
        <references count="1">
          <reference field="4294967294" count="1">
            <x v="1"/>
          </reference>
        </references>
      </pivotArea>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of Total"/>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421309-B0B3-4675-9F39-5AE624EA8CD2}" name="PivotTable6" cacheId="1937" applyNumberFormats="0" applyBorderFormats="0" applyFontFormats="0" applyPatternFormats="0" applyAlignmentFormats="0" applyWidthHeightFormats="1" dataCaption="Values" tag="56d47e98-3814-40fe-9499-0c3f5f940d21" updatedVersion="8" minRefreshableVersion="3" subtotalHiddenItems="1" itemPrintTitles="1" createdVersion="8" indent="0" outline="1" outlineData="1" multipleFieldFilters="0" chartFormat="44">
  <location ref="N5:O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61">
      <pivotArea outline="0" collapsedLevelsAreSubtotals="1" fieldPosition="0"/>
    </format>
  </formats>
  <chartFormats count="4">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34B8B2-2E2D-4B55-9373-1846E37EBFE7}" name="PivotTable1" cacheId="1925" applyNumberFormats="0" applyBorderFormats="0" applyFontFormats="0" applyPatternFormats="0" applyAlignmentFormats="0" applyWidthHeightFormats="1" dataCaption="Values" tag="49650e6e-794d-4cec-8485-c75a5f5d7e20" updatedVersion="8" minRefreshableVersion="3"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74D09B-819A-4C4B-8D12-9347EC246C2C}" name="PivotTable5" cacheId="1934" applyNumberFormats="0" applyBorderFormats="0" applyFontFormats="0" applyPatternFormats="0" applyAlignmentFormats="0" applyWidthHeightFormats="1" dataCaption="Values" tag="9dda140c-e0b8-4c76-8f2e-71ee5d36f600" updatedVersion="8" minRefreshableVersion="3" subtotalHiddenItems="1" itemPrintTitles="1" createdVersion="8" indent="0" outline="1" outlineData="1" multipleFieldFilters="0" chartFormat="32">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562">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06048A-C8D6-4A14-BCEF-4EAD5E47E9B1}" name="PivotTable4" cacheId="1922" applyNumberFormats="0" applyBorderFormats="0" applyFontFormats="0" applyPatternFormats="0" applyAlignmentFormats="0" applyWidthHeightFormats="1" dataCaption="Values" tag="339e7581-e28f-44d0-967b-73c08bcf7b21" updatedVersion="8" minRefreshableVersion="3" subtotalHiddenItems="1" itemPrintTitles="1" createdVersion="8" indent="0" outline="1" outlineData="1" multipleFieldFilters="0" chartFormat="23">
  <location ref="F5:G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A711CE-406F-440D-ACA1-0AF47C68067B}" name="PivotTable3" cacheId="1931" applyNumberFormats="0" applyBorderFormats="0" applyFontFormats="0" applyPatternFormats="0" applyAlignmentFormats="0" applyWidthHeightFormats="1" dataCaption="Values" tag="6711d4f5-9c13-47ce-92e5-8b737db2e134" updatedVersion="8" minRefreshableVersion="3" subtotalHiddenItems="1" itemPrintTitles="1" createdVersion="8" indent="0" outline="1" outlineData="1" multipleFieldFilters="0">
  <location ref="B17:B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63">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AC96A6-759E-495B-A9C8-886F279CC4AA}" name="PivotTable2" cacheId="1928" applyNumberFormats="0" applyBorderFormats="0" applyFontFormats="0" applyPatternFormats="0" applyAlignmentFormats="0" applyWidthHeightFormats="1" dataCaption="Values" tag="53647f9c-4807-47a4-8a0b-c94e483746cd" updatedVersion="8" minRefreshableVersion="3" subtotalHiddenItems="1" itemPrintTitles="1" createdVersion="8" indent="0" outline="1" outlineData="1" multipleFieldFilters="0">
  <location ref="B12:B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64">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AC6F579-3ACF-4BEF-B7CF-ABFB18CD4C5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0122261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F81F6A0-9D02-48E0-9065-6C5A60C990A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01222619">
      <levels count="2">
        <level uniqueName="[Calender_Table].[Date (Year)].[(All)]" sourceCaption="(All)" count="0"/>
        <level uniqueName="[Calender_Table].[Date (Year)].[Date (Year)]" sourceCaption="Date (Year)" count="3">
          <ranges>
            <range startItem="0">
              <i n="[Calender_Table].[Date (Year)].&amp;[2024]" c="2024"/>
              <i n="[Calender_Table].[Date (Year)].&amp;[2023]" c="2023" nd="1"/>
              <i n="[Calender_Table].[Date (Year)].&amp;[2025]" c="2025"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8479C4B-128B-462A-8C8E-2C30763A329E}" cache="Slicer_Date__Month" caption="Date (Month)" showCaption="0" level="1" rowHeight="208800"/>
  <slicer name="Date (Year)" xr10:uid="{9F49296F-5E16-4152-9291-F96A9156C350}" cache="Slicer_Date__Year" caption="Date (Year)" columnCount="2" showCaption="0" level="1"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R50"/>
  <sheetViews>
    <sheetView tabSelected="1" topLeftCell="G1" zoomScale="120" zoomScaleNormal="120" workbookViewId="0">
      <selection activeCell="P18" sqref="P18"/>
    </sheetView>
  </sheetViews>
  <sheetFormatPr defaultRowHeight="15" x14ac:dyDescent="0.25"/>
  <cols>
    <col min="2" max="2" width="16.5703125" customWidth="1"/>
    <col min="3" max="3" width="14" customWidth="1"/>
    <col min="4" max="4" width="9.28515625" customWidth="1"/>
    <col min="5" max="5" width="19.7109375" customWidth="1"/>
    <col min="6" max="6" width="25.140625" bestFit="1" customWidth="1"/>
    <col min="7" max="7" width="13.28515625" customWidth="1"/>
    <col min="8" max="8" width="18" customWidth="1"/>
    <col min="10" max="10" width="13.140625" bestFit="1" customWidth="1"/>
    <col min="11" max="11" width="25.140625" bestFit="1" customWidth="1"/>
    <col min="12" max="12" width="27.42578125" customWidth="1"/>
    <col min="14" max="14" width="13.140625" bestFit="1" customWidth="1"/>
    <col min="15" max="15" width="34.28515625" bestFit="1" customWidth="1"/>
    <col min="17" max="17" width="13.140625" bestFit="1" customWidth="1"/>
    <col min="18" max="18" width="28.28515625" bestFit="1" customWidth="1"/>
  </cols>
  <sheetData>
    <row r="4" spans="2:15" x14ac:dyDescent="0.25">
      <c r="B4" s="6" t="s">
        <v>1</v>
      </c>
      <c r="F4" s="7" t="s">
        <v>37</v>
      </c>
      <c r="G4" s="7"/>
      <c r="J4" s="7" t="s">
        <v>38</v>
      </c>
      <c r="K4" s="7"/>
      <c r="N4" s="7" t="s">
        <v>40</v>
      </c>
      <c r="O4" s="7"/>
    </row>
    <row r="5" spans="2:15" x14ac:dyDescent="0.25">
      <c r="B5" t="s">
        <v>0</v>
      </c>
      <c r="F5" s="1" t="s">
        <v>4</v>
      </c>
      <c r="G5" t="s">
        <v>0</v>
      </c>
      <c r="J5" s="1" t="s">
        <v>4</v>
      </c>
      <c r="K5" t="s">
        <v>2</v>
      </c>
      <c r="N5" s="1" t="s">
        <v>4</v>
      </c>
      <c r="O5" t="s">
        <v>3</v>
      </c>
    </row>
    <row r="6" spans="2:15" x14ac:dyDescent="0.25">
      <c r="B6" s="9">
        <v>513</v>
      </c>
      <c r="F6" s="4" t="s">
        <v>6</v>
      </c>
      <c r="G6" s="9">
        <v>19</v>
      </c>
      <c r="J6" s="4" t="s">
        <v>6</v>
      </c>
      <c r="K6" s="2">
        <v>37.789473684210527</v>
      </c>
      <c r="N6" s="4" t="s">
        <v>6</v>
      </c>
      <c r="O6" s="2">
        <v>6.666666666666667</v>
      </c>
    </row>
    <row r="7" spans="2:15" x14ac:dyDescent="0.25">
      <c r="F7" s="4" t="s">
        <v>7</v>
      </c>
      <c r="G7" s="9">
        <v>14</v>
      </c>
      <c r="J7" s="4" t="s">
        <v>7</v>
      </c>
      <c r="K7" s="2">
        <v>38.214285714285715</v>
      </c>
      <c r="N7" s="4" t="s">
        <v>7</v>
      </c>
      <c r="O7" s="2">
        <v>3.5</v>
      </c>
    </row>
    <row r="8" spans="2:15" x14ac:dyDescent="0.25">
      <c r="F8" s="4" t="s">
        <v>8</v>
      </c>
      <c r="G8" s="9">
        <v>13</v>
      </c>
      <c r="J8" s="4" t="s">
        <v>8</v>
      </c>
      <c r="K8" s="2">
        <v>40.92307692307692</v>
      </c>
      <c r="N8" s="4" t="s">
        <v>8</v>
      </c>
      <c r="O8" s="2">
        <v>4.5</v>
      </c>
    </row>
    <row r="9" spans="2:15" x14ac:dyDescent="0.25">
      <c r="F9" s="4" t="s">
        <v>9</v>
      </c>
      <c r="G9" s="9">
        <v>22</v>
      </c>
      <c r="J9" s="4" t="s">
        <v>9</v>
      </c>
      <c r="K9" s="2">
        <v>34.5</v>
      </c>
      <c r="N9" s="4" t="s">
        <v>9</v>
      </c>
      <c r="O9" s="2">
        <v>4.8</v>
      </c>
    </row>
    <row r="10" spans="2:15" x14ac:dyDescent="0.25">
      <c r="F10" s="4" t="s">
        <v>10</v>
      </c>
      <c r="G10" s="9">
        <v>19</v>
      </c>
      <c r="J10" s="4" t="s">
        <v>10</v>
      </c>
      <c r="K10" s="2">
        <v>30.684210526315791</v>
      </c>
      <c r="N10" s="4" t="s">
        <v>10</v>
      </c>
      <c r="O10" s="2">
        <v>7.75</v>
      </c>
    </row>
    <row r="11" spans="2:15" x14ac:dyDescent="0.25">
      <c r="F11" s="4" t="s">
        <v>11</v>
      </c>
      <c r="G11" s="9">
        <v>15</v>
      </c>
      <c r="J11" s="4" t="s">
        <v>11</v>
      </c>
      <c r="K11" s="2">
        <v>37.666666666666664</v>
      </c>
      <c r="N11" s="4" t="s">
        <v>11</v>
      </c>
      <c r="O11" s="2">
        <v>6.2</v>
      </c>
    </row>
    <row r="12" spans="2:15" x14ac:dyDescent="0.25">
      <c r="B12" t="s">
        <v>2</v>
      </c>
      <c r="F12" s="4" t="s">
        <v>12</v>
      </c>
      <c r="G12" s="9">
        <v>12</v>
      </c>
      <c r="J12" s="4" t="s">
        <v>12</v>
      </c>
      <c r="K12" s="2">
        <v>36.083333333333336</v>
      </c>
      <c r="N12" s="4" t="s">
        <v>12</v>
      </c>
      <c r="O12" s="2">
        <v>3.75</v>
      </c>
    </row>
    <row r="13" spans="2:15" x14ac:dyDescent="0.25">
      <c r="B13" s="2">
        <v>36.323586744639378</v>
      </c>
      <c r="F13" s="4" t="s">
        <v>13</v>
      </c>
      <c r="G13" s="9">
        <v>21</v>
      </c>
      <c r="J13" s="4" t="s">
        <v>13</v>
      </c>
      <c r="K13" s="2">
        <v>43.523809523809526</v>
      </c>
      <c r="N13" s="4" t="s">
        <v>13</v>
      </c>
      <c r="O13" s="2">
        <v>6.5</v>
      </c>
    </row>
    <row r="14" spans="2:15" x14ac:dyDescent="0.25">
      <c r="F14" s="4" t="s">
        <v>14</v>
      </c>
      <c r="G14" s="9">
        <v>12</v>
      </c>
      <c r="J14" s="4" t="s">
        <v>14</v>
      </c>
      <c r="K14" s="2">
        <v>29.5</v>
      </c>
      <c r="N14" s="4" t="s">
        <v>14</v>
      </c>
      <c r="O14" s="2">
        <v>3</v>
      </c>
    </row>
    <row r="15" spans="2:15" x14ac:dyDescent="0.25">
      <c r="F15" s="4" t="s">
        <v>15</v>
      </c>
      <c r="G15" s="9">
        <v>13</v>
      </c>
      <c r="J15" s="4" t="s">
        <v>15</v>
      </c>
      <c r="K15" s="2">
        <v>38.07692307692308</v>
      </c>
      <c r="N15" s="4" t="s">
        <v>15</v>
      </c>
      <c r="O15" s="2">
        <v>4.5</v>
      </c>
    </row>
    <row r="16" spans="2:15" x14ac:dyDescent="0.25">
      <c r="F16" s="4" t="s">
        <v>16</v>
      </c>
      <c r="G16" s="9">
        <v>13</v>
      </c>
      <c r="J16" s="4" t="s">
        <v>16</v>
      </c>
      <c r="K16" s="2">
        <v>35.846153846153847</v>
      </c>
      <c r="N16" s="4" t="s">
        <v>16</v>
      </c>
      <c r="O16" s="2">
        <v>6</v>
      </c>
    </row>
    <row r="17" spans="2:15" x14ac:dyDescent="0.25">
      <c r="B17" t="s">
        <v>3</v>
      </c>
      <c r="F17" s="4" t="s">
        <v>17</v>
      </c>
      <c r="G17" s="9">
        <v>16</v>
      </c>
      <c r="J17" s="4" t="s">
        <v>17</v>
      </c>
      <c r="K17" s="2">
        <v>32.625</v>
      </c>
      <c r="N17" s="4" t="s">
        <v>17</v>
      </c>
      <c r="O17" s="2">
        <v>5.2</v>
      </c>
    </row>
    <row r="18" spans="2:15" x14ac:dyDescent="0.25">
      <c r="B18" s="2">
        <v>4.9591836734693882</v>
      </c>
      <c r="F18" s="4" t="s">
        <v>18</v>
      </c>
      <c r="G18" s="9">
        <v>20</v>
      </c>
      <c r="J18" s="4" t="s">
        <v>18</v>
      </c>
      <c r="K18" s="2">
        <v>39.200000000000003</v>
      </c>
      <c r="N18" s="4" t="s">
        <v>18</v>
      </c>
      <c r="O18" s="2">
        <v>4.4000000000000004</v>
      </c>
    </row>
    <row r="19" spans="2:15" x14ac:dyDescent="0.25">
      <c r="F19" s="4" t="s">
        <v>19</v>
      </c>
      <c r="G19" s="9">
        <v>25</v>
      </c>
      <c r="J19" s="4" t="s">
        <v>19</v>
      </c>
      <c r="K19" s="2">
        <v>35.28</v>
      </c>
      <c r="N19" s="4" t="s">
        <v>19</v>
      </c>
      <c r="O19" s="2">
        <v>3.4545454545454546</v>
      </c>
    </row>
    <row r="20" spans="2:15" x14ac:dyDescent="0.25">
      <c r="F20" s="4" t="s">
        <v>20</v>
      </c>
      <c r="G20" s="9">
        <v>20</v>
      </c>
      <c r="J20" s="4" t="s">
        <v>20</v>
      </c>
      <c r="K20" s="2">
        <v>32.549999999999997</v>
      </c>
      <c r="N20" s="4" t="s">
        <v>20</v>
      </c>
      <c r="O20" s="2">
        <v>4.4000000000000004</v>
      </c>
    </row>
    <row r="21" spans="2:15" x14ac:dyDescent="0.25">
      <c r="F21" s="4" t="s">
        <v>21</v>
      </c>
      <c r="G21" s="9">
        <v>14</v>
      </c>
      <c r="J21" s="4" t="s">
        <v>21</v>
      </c>
      <c r="K21" s="2">
        <v>35.642857142857146</v>
      </c>
      <c r="N21" s="4" t="s">
        <v>21</v>
      </c>
      <c r="O21" s="2">
        <v>5.833333333333333</v>
      </c>
    </row>
    <row r="22" spans="2:15" x14ac:dyDescent="0.25">
      <c r="F22" s="4" t="s">
        <v>22</v>
      </c>
      <c r="G22" s="9">
        <v>17</v>
      </c>
      <c r="J22" s="4" t="s">
        <v>22</v>
      </c>
      <c r="K22" s="2">
        <v>38.764705882352942</v>
      </c>
      <c r="N22" s="4" t="s">
        <v>22</v>
      </c>
      <c r="O22" s="2">
        <v>4.4444444444444446</v>
      </c>
    </row>
    <row r="23" spans="2:15" x14ac:dyDescent="0.25">
      <c r="F23" s="4" t="s">
        <v>23</v>
      </c>
      <c r="G23" s="9">
        <v>20</v>
      </c>
      <c r="J23" s="4" t="s">
        <v>23</v>
      </c>
      <c r="K23" s="2">
        <v>39.9</v>
      </c>
      <c r="N23" s="4" t="s">
        <v>23</v>
      </c>
      <c r="O23" s="2">
        <v>5.333333333333333</v>
      </c>
    </row>
    <row r="24" spans="2:15" x14ac:dyDescent="0.25">
      <c r="F24" s="4" t="s">
        <v>24</v>
      </c>
      <c r="G24" s="9">
        <v>10</v>
      </c>
      <c r="J24" s="4" t="s">
        <v>24</v>
      </c>
      <c r="K24" s="2">
        <v>41.6</v>
      </c>
      <c r="N24" s="4" t="s">
        <v>24</v>
      </c>
      <c r="O24" s="2">
        <v>5.333333333333333</v>
      </c>
    </row>
    <row r="25" spans="2:15" x14ac:dyDescent="0.25">
      <c r="F25" s="4" t="s">
        <v>25</v>
      </c>
      <c r="G25" s="9">
        <v>17</v>
      </c>
      <c r="J25" s="4" t="s">
        <v>25</v>
      </c>
      <c r="K25" s="2">
        <v>39.470588235294116</v>
      </c>
      <c r="N25" s="4" t="s">
        <v>25</v>
      </c>
      <c r="O25" s="2">
        <v>5.5714285714285712</v>
      </c>
    </row>
    <row r="26" spans="2:15" x14ac:dyDescent="0.25">
      <c r="F26" s="4" t="s">
        <v>26</v>
      </c>
      <c r="G26" s="9">
        <v>15</v>
      </c>
      <c r="J26" s="4" t="s">
        <v>26</v>
      </c>
      <c r="K26" s="2">
        <v>27.733333333333334</v>
      </c>
      <c r="N26" s="4" t="s">
        <v>26</v>
      </c>
      <c r="O26" s="2">
        <v>5</v>
      </c>
    </row>
    <row r="27" spans="2:15" x14ac:dyDescent="0.25">
      <c r="F27" s="4" t="s">
        <v>27</v>
      </c>
      <c r="G27" s="9">
        <v>16</v>
      </c>
      <c r="J27" s="4" t="s">
        <v>27</v>
      </c>
      <c r="K27" s="2">
        <v>36.875</v>
      </c>
      <c r="N27" s="4" t="s">
        <v>27</v>
      </c>
      <c r="O27" s="2">
        <v>6.4</v>
      </c>
    </row>
    <row r="28" spans="2:15" x14ac:dyDescent="0.25">
      <c r="F28" s="4" t="s">
        <v>28</v>
      </c>
      <c r="G28" s="9">
        <v>18</v>
      </c>
      <c r="J28" s="4" t="s">
        <v>28</v>
      </c>
      <c r="K28" s="2">
        <v>40.333333333333336</v>
      </c>
      <c r="N28" s="4" t="s">
        <v>28</v>
      </c>
      <c r="O28" s="2">
        <v>5.333333333333333</v>
      </c>
    </row>
    <row r="29" spans="2:15" x14ac:dyDescent="0.25">
      <c r="F29" s="4" t="s">
        <v>29</v>
      </c>
      <c r="G29" s="9">
        <v>16</v>
      </c>
      <c r="J29" s="4" t="s">
        <v>29</v>
      </c>
      <c r="K29" s="2">
        <v>36.5</v>
      </c>
      <c r="N29" s="4" t="s">
        <v>29</v>
      </c>
      <c r="O29" s="2">
        <v>3.75</v>
      </c>
    </row>
    <row r="30" spans="2:15" x14ac:dyDescent="0.25">
      <c r="F30" s="4" t="s">
        <v>30</v>
      </c>
      <c r="G30" s="9">
        <v>15</v>
      </c>
      <c r="J30" s="4" t="s">
        <v>30</v>
      </c>
      <c r="K30" s="2">
        <v>32.866666666666667</v>
      </c>
      <c r="N30" s="4" t="s">
        <v>30</v>
      </c>
      <c r="O30" s="2">
        <v>6.333333333333333</v>
      </c>
    </row>
    <row r="31" spans="2:15" x14ac:dyDescent="0.25">
      <c r="F31" s="4" t="s">
        <v>31</v>
      </c>
      <c r="G31" s="9">
        <v>14</v>
      </c>
      <c r="J31" s="4" t="s">
        <v>31</v>
      </c>
      <c r="K31" s="2">
        <v>36.642857142857146</v>
      </c>
      <c r="N31" s="4" t="s">
        <v>31</v>
      </c>
      <c r="O31" s="2">
        <v>10</v>
      </c>
    </row>
    <row r="32" spans="2:15" x14ac:dyDescent="0.25">
      <c r="F32" s="4" t="s">
        <v>32</v>
      </c>
      <c r="G32" s="9">
        <v>16</v>
      </c>
      <c r="J32" s="4" t="s">
        <v>32</v>
      </c>
      <c r="K32" s="2">
        <v>36.5625</v>
      </c>
      <c r="N32" s="4" t="s">
        <v>32</v>
      </c>
      <c r="O32" s="2">
        <v>5</v>
      </c>
    </row>
    <row r="33" spans="2:18" x14ac:dyDescent="0.25">
      <c r="F33" s="4" t="s">
        <v>33</v>
      </c>
      <c r="G33" s="9">
        <v>20</v>
      </c>
      <c r="J33" s="4" t="s">
        <v>33</v>
      </c>
      <c r="K33" s="2">
        <v>32.15</v>
      </c>
      <c r="N33" s="4" t="s">
        <v>33</v>
      </c>
      <c r="O33" s="2">
        <v>5.333333333333333</v>
      </c>
    </row>
    <row r="34" spans="2:18" x14ac:dyDescent="0.25">
      <c r="F34" s="4" t="s">
        <v>34</v>
      </c>
      <c r="G34" s="9">
        <v>19</v>
      </c>
      <c r="J34" s="4" t="s">
        <v>34</v>
      </c>
      <c r="K34" s="2">
        <v>38.368421052631582</v>
      </c>
      <c r="N34" s="4" t="s">
        <v>34</v>
      </c>
      <c r="O34" s="2">
        <v>4.8</v>
      </c>
    </row>
    <row r="35" spans="2:18" x14ac:dyDescent="0.25">
      <c r="F35" s="4" t="s">
        <v>35</v>
      </c>
      <c r="G35" s="9">
        <v>14</v>
      </c>
      <c r="J35" s="4" t="s">
        <v>35</v>
      </c>
      <c r="K35" s="2">
        <v>33.071428571428569</v>
      </c>
      <c r="N35" s="4" t="s">
        <v>35</v>
      </c>
      <c r="O35" s="2">
        <v>5</v>
      </c>
    </row>
    <row r="36" spans="2:18" x14ac:dyDescent="0.25">
      <c r="F36" s="4" t="s">
        <v>36</v>
      </c>
      <c r="G36" s="9">
        <v>18</v>
      </c>
      <c r="J36" s="4" t="s">
        <v>36</v>
      </c>
      <c r="K36" s="2">
        <v>36.444444444444443</v>
      </c>
      <c r="N36" s="4" t="s">
        <v>36</v>
      </c>
      <c r="O36" s="2">
        <v>1.4</v>
      </c>
    </row>
    <row r="37" spans="2:18" x14ac:dyDescent="0.25">
      <c r="F37" s="4" t="s">
        <v>5</v>
      </c>
      <c r="G37" s="9">
        <v>513</v>
      </c>
      <c r="J37" s="4" t="s">
        <v>5</v>
      </c>
      <c r="K37" s="2">
        <v>36.323586744639378</v>
      </c>
      <c r="N37" s="4" t="s">
        <v>5</v>
      </c>
      <c r="O37" s="2">
        <v>4.9591836734693882</v>
      </c>
    </row>
    <row r="40" spans="2:18" x14ac:dyDescent="0.25">
      <c r="G40" s="18" t="s">
        <v>57</v>
      </c>
      <c r="H40" s="18"/>
    </row>
    <row r="41" spans="2:18" x14ac:dyDescent="0.25">
      <c r="B41" s="1" t="s">
        <v>4</v>
      </c>
      <c r="C41" t="s">
        <v>42</v>
      </c>
      <c r="D41" t="s">
        <v>45</v>
      </c>
      <c r="G41" s="1" t="s">
        <v>4</v>
      </c>
      <c r="H41" t="s">
        <v>56</v>
      </c>
      <c r="K41" s="1" t="s">
        <v>4</v>
      </c>
      <c r="L41" t="s">
        <v>58</v>
      </c>
      <c r="N41" s="1" t="s">
        <v>4</v>
      </c>
      <c r="O41" t="s">
        <v>61</v>
      </c>
      <c r="Q41" s="1" t="s">
        <v>4</v>
      </c>
      <c r="R41" t="s">
        <v>72</v>
      </c>
    </row>
    <row r="42" spans="2:18" x14ac:dyDescent="0.25">
      <c r="B42" s="4" t="s">
        <v>43</v>
      </c>
      <c r="C42" s="10">
        <v>269</v>
      </c>
      <c r="D42" s="11">
        <v>0.52436647173489281</v>
      </c>
      <c r="E42" s="4"/>
      <c r="F42" s="11"/>
      <c r="G42" s="4" t="s">
        <v>48</v>
      </c>
      <c r="H42" s="10">
        <v>76</v>
      </c>
      <c r="K42" s="4" t="s">
        <v>60</v>
      </c>
      <c r="L42" s="10">
        <v>316</v>
      </c>
      <c r="N42" s="4" t="s">
        <v>62</v>
      </c>
      <c r="O42" s="10">
        <v>241</v>
      </c>
      <c r="Q42" s="4" t="s">
        <v>65</v>
      </c>
      <c r="R42" s="10">
        <v>4</v>
      </c>
    </row>
    <row r="43" spans="2:18" x14ac:dyDescent="0.25">
      <c r="B43" s="4" t="s">
        <v>44</v>
      </c>
      <c r="C43" s="10">
        <v>244</v>
      </c>
      <c r="D43" s="11">
        <v>0.47563352826510719</v>
      </c>
      <c r="E43" s="4"/>
      <c r="F43" s="11"/>
      <c r="G43" s="4" t="s">
        <v>49</v>
      </c>
      <c r="H43" s="10">
        <v>69</v>
      </c>
      <c r="K43" s="4" t="s">
        <v>59</v>
      </c>
      <c r="L43" s="10">
        <v>197</v>
      </c>
      <c r="N43" s="4" t="s">
        <v>63</v>
      </c>
      <c r="O43" s="10">
        <v>272</v>
      </c>
      <c r="Q43" s="4" t="s">
        <v>71</v>
      </c>
      <c r="R43" s="10">
        <v>5</v>
      </c>
    </row>
    <row r="44" spans="2:18" x14ac:dyDescent="0.25">
      <c r="B44" s="4" t="s">
        <v>5</v>
      </c>
      <c r="C44" s="10">
        <v>513</v>
      </c>
      <c r="D44" s="11">
        <v>1</v>
      </c>
      <c r="E44" s="4"/>
      <c r="F44" s="11"/>
      <c r="G44" s="4" t="s">
        <v>50</v>
      </c>
      <c r="H44" s="10">
        <v>64</v>
      </c>
      <c r="K44" s="4" t="s">
        <v>5</v>
      </c>
      <c r="L44" s="10">
        <v>513</v>
      </c>
      <c r="N44" s="4" t="s">
        <v>5</v>
      </c>
      <c r="O44" s="10">
        <v>513</v>
      </c>
      <c r="Q44" s="4" t="s">
        <v>67</v>
      </c>
      <c r="R44" s="10">
        <v>9</v>
      </c>
    </row>
    <row r="45" spans="2:18" x14ac:dyDescent="0.25">
      <c r="G45" s="4" t="s">
        <v>51</v>
      </c>
      <c r="H45" s="10">
        <v>59</v>
      </c>
      <c r="Q45" s="4" t="s">
        <v>70</v>
      </c>
      <c r="R45" s="10">
        <v>14</v>
      </c>
    </row>
    <row r="46" spans="2:18" x14ac:dyDescent="0.25">
      <c r="F46" s="15"/>
      <c r="G46" s="4" t="s">
        <v>52</v>
      </c>
      <c r="H46" s="10">
        <v>58</v>
      </c>
      <c r="Q46" s="4" t="s">
        <v>64</v>
      </c>
      <c r="R46" s="10">
        <v>14</v>
      </c>
    </row>
    <row r="47" spans="2:18" x14ac:dyDescent="0.25">
      <c r="B47" s="16" t="s">
        <v>46</v>
      </c>
      <c r="C47" s="17" t="s">
        <v>1</v>
      </c>
      <c r="D47" s="17" t="s">
        <v>47</v>
      </c>
      <c r="E47" s="12"/>
      <c r="F47" s="15"/>
      <c r="G47" s="4" t="s">
        <v>53</v>
      </c>
      <c r="H47" s="10">
        <v>66</v>
      </c>
      <c r="Q47" s="4" t="s">
        <v>69</v>
      </c>
      <c r="R47" s="10">
        <v>65</v>
      </c>
    </row>
    <row r="48" spans="2:18" x14ac:dyDescent="0.25">
      <c r="B48" s="13" t="str">
        <f>B43</f>
        <v>Not Admitted</v>
      </c>
      <c r="C48" s="13">
        <f>C43</f>
        <v>244</v>
      </c>
      <c r="D48" s="14">
        <f>D43</f>
        <v>0.47563352826510719</v>
      </c>
      <c r="E48" s="13"/>
      <c r="F48" s="15"/>
      <c r="G48" s="4" t="s">
        <v>54</v>
      </c>
      <c r="H48" s="10">
        <v>67</v>
      </c>
      <c r="K48" s="1" t="s">
        <v>4</v>
      </c>
      <c r="Q48" s="4" t="s">
        <v>66</v>
      </c>
      <c r="R48" s="10">
        <v>103</v>
      </c>
    </row>
    <row r="49" spans="2:18" x14ac:dyDescent="0.25">
      <c r="B49" s="13" t="str">
        <f>B42</f>
        <v>Admitted</v>
      </c>
      <c r="C49" s="13">
        <f>C42</f>
        <v>269</v>
      </c>
      <c r="D49" s="14">
        <f>D42</f>
        <v>0.52436647173489281</v>
      </c>
      <c r="E49" s="13"/>
      <c r="F49" s="15"/>
      <c r="G49" s="4" t="s">
        <v>55</v>
      </c>
      <c r="H49" s="10">
        <v>54</v>
      </c>
      <c r="K49" s="4" t="s">
        <v>73</v>
      </c>
      <c r="Q49" s="4" t="s">
        <v>68</v>
      </c>
      <c r="R49" s="10">
        <v>299</v>
      </c>
    </row>
    <row r="50" spans="2:18" x14ac:dyDescent="0.25">
      <c r="G50" s="4" t="s">
        <v>5</v>
      </c>
      <c r="H50" s="10">
        <v>513</v>
      </c>
      <c r="K50" s="4" t="s">
        <v>5</v>
      </c>
      <c r="Q50" s="4" t="s">
        <v>5</v>
      </c>
      <c r="R50" s="10">
        <v>513</v>
      </c>
    </row>
  </sheetData>
  <mergeCells count="4">
    <mergeCell ref="F4:G4"/>
    <mergeCell ref="J4:K4"/>
    <mergeCell ref="N4:O4"/>
    <mergeCell ref="G40:H40"/>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2EAD-94CC-43BC-B1F4-0CAC8DE6144B}">
  <dimension ref="A1:N21"/>
  <sheetViews>
    <sheetView zoomScale="130" zoomScaleNormal="130" workbookViewId="0">
      <selection activeCell="P5" sqref="P5"/>
    </sheetView>
  </sheetViews>
  <sheetFormatPr defaultRowHeight="15" x14ac:dyDescent="0.25"/>
  <cols>
    <col min="13" max="14" width="9.140625" customWidth="1"/>
  </cols>
  <sheetData>
    <row r="1" spans="1:14" x14ac:dyDescent="0.25">
      <c r="A1" s="3"/>
      <c r="B1" s="3"/>
      <c r="C1" s="3"/>
      <c r="D1" s="3"/>
      <c r="E1" s="3"/>
      <c r="F1" s="3"/>
      <c r="G1" s="3"/>
      <c r="H1" s="3"/>
      <c r="I1" s="3"/>
      <c r="J1" s="3"/>
      <c r="K1" s="3"/>
      <c r="L1" s="3"/>
      <c r="M1" s="3"/>
      <c r="N1" s="3"/>
    </row>
    <row r="2" spans="1:14" x14ac:dyDescent="0.25">
      <c r="A2" s="3"/>
      <c r="B2" s="3"/>
      <c r="C2" s="3"/>
      <c r="D2" s="3"/>
      <c r="E2" s="3"/>
      <c r="F2" s="3"/>
      <c r="G2" s="3"/>
      <c r="H2" s="3"/>
      <c r="I2" s="3"/>
      <c r="J2" s="3"/>
      <c r="K2" s="3"/>
      <c r="L2" s="3"/>
      <c r="M2" s="3"/>
      <c r="N2" s="3"/>
    </row>
    <row r="3" spans="1:14" x14ac:dyDescent="0.25">
      <c r="A3" s="3"/>
      <c r="B3" s="3"/>
      <c r="C3" s="3"/>
      <c r="D3" s="3"/>
      <c r="E3" s="3"/>
      <c r="F3" s="3"/>
      <c r="G3" s="3"/>
      <c r="H3" s="3"/>
      <c r="I3" s="3"/>
      <c r="J3" s="3"/>
      <c r="K3" s="3"/>
      <c r="L3" s="3"/>
      <c r="M3" s="3"/>
      <c r="N3" s="3"/>
    </row>
    <row r="4" spans="1:14" x14ac:dyDescent="0.25">
      <c r="A4" s="3"/>
      <c r="B4" s="3"/>
      <c r="C4" s="3"/>
      <c r="D4" s="3"/>
      <c r="E4" s="3"/>
      <c r="F4" s="3"/>
      <c r="G4" s="3"/>
      <c r="H4" s="3"/>
      <c r="I4" s="3"/>
      <c r="J4" s="3"/>
      <c r="K4" s="3"/>
      <c r="L4" s="3"/>
      <c r="M4" s="3"/>
      <c r="N4" s="3"/>
    </row>
    <row r="5" spans="1:14" x14ac:dyDescent="0.25">
      <c r="A5" s="3"/>
      <c r="B5" s="3"/>
      <c r="C5" s="3"/>
      <c r="D5" s="3"/>
      <c r="E5" s="3"/>
      <c r="F5" s="3"/>
      <c r="G5" s="3"/>
      <c r="H5" s="3"/>
      <c r="I5" s="3"/>
      <c r="J5" s="3"/>
      <c r="K5" s="3"/>
      <c r="L5" s="3"/>
      <c r="M5" s="3"/>
      <c r="N5" s="3"/>
    </row>
    <row r="6" spans="1:14" x14ac:dyDescent="0.25">
      <c r="A6" s="3"/>
      <c r="B6" s="3"/>
      <c r="C6" s="3"/>
      <c r="D6" s="3"/>
      <c r="E6" s="3"/>
      <c r="F6" s="3"/>
      <c r="G6" s="3"/>
      <c r="H6" s="3"/>
      <c r="I6" s="3"/>
      <c r="J6" s="3"/>
      <c r="K6" s="3"/>
      <c r="L6" s="3"/>
      <c r="M6" s="3"/>
      <c r="N6" s="3"/>
    </row>
    <row r="7" spans="1:14" x14ac:dyDescent="0.25">
      <c r="A7" s="3"/>
      <c r="B7" s="3"/>
      <c r="C7" s="3"/>
      <c r="D7" s="3"/>
      <c r="E7" s="3"/>
      <c r="F7" s="3"/>
      <c r="G7" s="3"/>
      <c r="H7" s="3"/>
      <c r="I7" s="3"/>
      <c r="J7" s="3"/>
      <c r="K7" s="3"/>
      <c r="L7" s="3"/>
      <c r="M7" s="3"/>
      <c r="N7" s="3"/>
    </row>
    <row r="8" spans="1:14" x14ac:dyDescent="0.25">
      <c r="A8" s="3"/>
      <c r="B8" s="3"/>
      <c r="C8" s="3"/>
      <c r="D8" s="3"/>
      <c r="E8" s="3"/>
      <c r="F8" s="3"/>
      <c r="G8" s="3"/>
      <c r="H8" s="3"/>
      <c r="I8" s="3"/>
      <c r="J8" s="3"/>
      <c r="K8" s="3"/>
      <c r="L8" s="3"/>
      <c r="M8" s="3"/>
      <c r="N8" s="3"/>
    </row>
    <row r="9" spans="1:14" x14ac:dyDescent="0.25">
      <c r="A9" s="3"/>
      <c r="B9" s="3"/>
      <c r="C9" s="3"/>
      <c r="D9" s="3"/>
      <c r="E9" s="3"/>
      <c r="F9" s="3"/>
      <c r="G9" s="3"/>
      <c r="H9" s="3"/>
      <c r="I9" s="3"/>
      <c r="J9" s="3"/>
      <c r="K9" s="3"/>
      <c r="L9" s="3"/>
      <c r="M9" s="3"/>
      <c r="N9" s="3"/>
    </row>
    <row r="10" spans="1:14" x14ac:dyDescent="0.25">
      <c r="A10" s="3"/>
      <c r="B10" s="3"/>
      <c r="C10" s="3"/>
      <c r="D10" s="3"/>
      <c r="E10" s="3"/>
      <c r="F10" s="3"/>
      <c r="G10" s="3"/>
      <c r="H10" s="3"/>
      <c r="I10" s="3"/>
      <c r="J10" s="3"/>
      <c r="K10" s="3"/>
      <c r="L10" s="3"/>
      <c r="M10" s="3"/>
      <c r="N10" s="3"/>
    </row>
    <row r="11" spans="1:14" x14ac:dyDescent="0.25">
      <c r="A11" s="3"/>
      <c r="B11" s="3"/>
      <c r="C11" s="3"/>
      <c r="D11" s="3"/>
      <c r="E11" s="3"/>
      <c r="F11" s="3"/>
      <c r="G11" s="3"/>
      <c r="H11" s="3"/>
      <c r="I11" s="3"/>
      <c r="J11" s="3"/>
      <c r="K11" s="3"/>
      <c r="L11" s="3"/>
      <c r="M11" s="3"/>
      <c r="N11" s="3"/>
    </row>
    <row r="12" spans="1:14" x14ac:dyDescent="0.25">
      <c r="A12" s="3"/>
      <c r="B12" s="3"/>
      <c r="C12" s="3"/>
      <c r="D12" s="3"/>
      <c r="E12" s="3"/>
      <c r="F12" s="3"/>
      <c r="G12" s="3"/>
      <c r="H12" s="3"/>
      <c r="I12" s="3"/>
      <c r="J12" s="3"/>
      <c r="K12" s="3"/>
      <c r="L12" s="3"/>
      <c r="M12" s="3"/>
      <c r="N12" s="3"/>
    </row>
    <row r="13" spans="1:14" x14ac:dyDescent="0.25">
      <c r="A13" s="3"/>
      <c r="B13" s="3"/>
      <c r="C13" s="3"/>
      <c r="D13" s="3"/>
      <c r="E13" s="3"/>
      <c r="F13" s="3"/>
      <c r="G13" s="3"/>
      <c r="H13" s="3"/>
      <c r="I13" s="3"/>
      <c r="J13" s="3"/>
      <c r="K13" s="3"/>
      <c r="L13" s="3"/>
      <c r="M13" s="3"/>
      <c r="N13" s="3"/>
    </row>
    <row r="14" spans="1:14" x14ac:dyDescent="0.25">
      <c r="A14" s="3"/>
      <c r="B14" s="3"/>
      <c r="C14" s="3"/>
      <c r="D14" s="3"/>
      <c r="E14" s="3"/>
      <c r="F14" s="3"/>
      <c r="G14" s="3"/>
      <c r="H14" s="3"/>
      <c r="I14" s="3"/>
      <c r="J14" s="3"/>
      <c r="K14" s="3"/>
      <c r="L14" s="3"/>
      <c r="M14" s="3"/>
      <c r="N14" s="3"/>
    </row>
    <row r="15" spans="1:14" x14ac:dyDescent="0.25">
      <c r="A15" s="3"/>
      <c r="B15" s="3"/>
      <c r="C15" s="3"/>
      <c r="D15" s="3"/>
      <c r="E15" s="3"/>
      <c r="F15" s="3"/>
      <c r="G15" s="3"/>
      <c r="H15" s="3"/>
      <c r="I15" s="3"/>
      <c r="J15" s="3"/>
      <c r="K15" s="3"/>
      <c r="L15" s="3"/>
      <c r="M15" s="3"/>
      <c r="N15" s="3"/>
    </row>
    <row r="16" spans="1:14" x14ac:dyDescent="0.25">
      <c r="A16" s="3"/>
      <c r="B16" s="3"/>
      <c r="C16" s="3"/>
      <c r="D16" s="3"/>
      <c r="E16" s="3"/>
      <c r="F16" s="3"/>
      <c r="G16" s="3"/>
      <c r="H16" s="3"/>
      <c r="I16" s="3"/>
      <c r="J16" s="3"/>
      <c r="K16" s="3"/>
      <c r="L16" s="3"/>
      <c r="M16" s="3"/>
      <c r="N16" s="3"/>
    </row>
    <row r="17" spans="1:14" x14ac:dyDescent="0.25">
      <c r="A17" s="3"/>
      <c r="B17" s="3"/>
      <c r="C17" s="3"/>
      <c r="D17" s="3"/>
      <c r="E17" s="3"/>
      <c r="F17" s="3"/>
      <c r="G17" s="3"/>
      <c r="H17" s="3"/>
      <c r="I17" s="3"/>
      <c r="J17" s="3"/>
      <c r="K17" s="3"/>
      <c r="L17" s="3"/>
      <c r="M17" s="3"/>
      <c r="N17" s="3"/>
    </row>
    <row r="18" spans="1:14" x14ac:dyDescent="0.25">
      <c r="A18" s="3"/>
      <c r="B18" s="3"/>
      <c r="C18" s="3"/>
      <c r="D18" s="3"/>
      <c r="E18" s="3"/>
      <c r="F18" s="3"/>
      <c r="G18" s="3"/>
      <c r="H18" s="3"/>
      <c r="I18" s="3"/>
      <c r="J18" s="3"/>
      <c r="K18" s="3"/>
      <c r="L18" s="3"/>
      <c r="M18" s="3"/>
      <c r="N18" s="3"/>
    </row>
    <row r="19" spans="1:14" x14ac:dyDescent="0.25">
      <c r="A19" s="3"/>
      <c r="B19" s="3"/>
      <c r="C19" s="3"/>
      <c r="D19" s="3"/>
      <c r="E19" s="3"/>
      <c r="F19" s="3"/>
      <c r="G19" s="3"/>
      <c r="H19" s="3"/>
      <c r="I19" s="3"/>
      <c r="J19" s="3"/>
      <c r="K19" s="3"/>
      <c r="L19" s="3"/>
      <c r="M19" s="3"/>
      <c r="N19" s="3"/>
    </row>
    <row r="20" spans="1:14" x14ac:dyDescent="0.25">
      <c r="A20" s="3"/>
      <c r="B20" s="3"/>
      <c r="C20" s="3"/>
      <c r="D20" s="3"/>
      <c r="E20" s="3"/>
      <c r="F20" s="3"/>
      <c r="G20" s="3"/>
      <c r="H20" s="3"/>
      <c r="I20" s="3"/>
      <c r="J20" s="3"/>
      <c r="K20" s="3"/>
      <c r="L20" s="3"/>
      <c r="M20" s="3"/>
      <c r="N20" s="3"/>
    </row>
    <row r="21" spans="1:14" x14ac:dyDescent="0.25">
      <c r="A21" s="3"/>
      <c r="B21" s="3"/>
      <c r="C21" s="3"/>
      <c r="D21" s="3"/>
      <c r="E21" s="3"/>
      <c r="F21" s="3"/>
      <c r="G21" s="3"/>
      <c r="H21" s="3"/>
      <c r="I21" s="3"/>
      <c r="J21" s="3"/>
      <c r="K21" s="3"/>
      <c r="L21" s="3"/>
      <c r="M21" s="3"/>
      <c r="N21"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4D00-0CE1-4F41-8D4F-9F8E56225DB5}">
  <dimension ref="A1:M20"/>
  <sheetViews>
    <sheetView workbookViewId="0"/>
  </sheetViews>
  <sheetFormatPr defaultRowHeight="15" x14ac:dyDescent="0.25"/>
  <sheetData>
    <row r="1" spans="1:13" x14ac:dyDescent="0.25">
      <c r="A1" s="5"/>
      <c r="B1" s="5"/>
      <c r="C1" s="5"/>
      <c r="D1" s="5"/>
      <c r="E1" s="5"/>
      <c r="F1" s="5"/>
      <c r="G1" s="5"/>
      <c r="H1" s="5"/>
      <c r="I1" s="5"/>
      <c r="J1" s="5"/>
      <c r="K1" s="5"/>
      <c r="L1" s="5"/>
      <c r="M1" s="5"/>
    </row>
    <row r="2" spans="1:13" x14ac:dyDescent="0.25">
      <c r="A2" s="5"/>
      <c r="B2" s="5"/>
      <c r="C2" s="5"/>
      <c r="D2" s="5"/>
      <c r="E2" s="5"/>
      <c r="F2" s="5"/>
      <c r="G2" s="5"/>
      <c r="H2" s="5"/>
      <c r="I2" s="5"/>
      <c r="J2" s="5"/>
      <c r="K2" s="5"/>
      <c r="L2" s="5"/>
      <c r="M2" s="5"/>
    </row>
    <row r="3" spans="1:13" x14ac:dyDescent="0.25">
      <c r="A3" s="5"/>
      <c r="B3" s="5"/>
      <c r="C3" s="5"/>
      <c r="D3" s="5"/>
      <c r="E3" s="5"/>
      <c r="F3" s="5"/>
      <c r="G3" s="5"/>
      <c r="H3" s="5"/>
      <c r="I3" s="5"/>
      <c r="J3" s="5"/>
      <c r="K3" s="5"/>
      <c r="L3" s="5"/>
      <c r="M3" s="5"/>
    </row>
    <row r="4" spans="1:13" x14ac:dyDescent="0.25">
      <c r="A4" s="5"/>
      <c r="B4" s="5"/>
      <c r="C4" s="5"/>
      <c r="D4" s="5"/>
      <c r="E4" s="5"/>
      <c r="F4" s="5"/>
      <c r="G4" s="5"/>
      <c r="H4" s="5"/>
      <c r="I4" s="5"/>
      <c r="J4" s="5"/>
      <c r="K4" s="5"/>
      <c r="L4" s="5"/>
      <c r="M4" s="5"/>
    </row>
    <row r="5" spans="1:13" x14ac:dyDescent="0.25">
      <c r="A5" s="5"/>
      <c r="B5" s="5"/>
      <c r="C5" s="5"/>
      <c r="D5" s="5"/>
      <c r="E5" s="5"/>
      <c r="F5" s="5"/>
      <c r="G5" s="5"/>
      <c r="H5" s="5"/>
      <c r="I5" s="5"/>
      <c r="J5" s="5"/>
      <c r="K5" s="5"/>
      <c r="L5" s="5"/>
      <c r="M5" s="5"/>
    </row>
    <row r="6" spans="1:13" x14ac:dyDescent="0.25">
      <c r="A6" s="5"/>
      <c r="B6" s="5"/>
      <c r="C6" s="5"/>
      <c r="D6" s="5"/>
      <c r="E6" s="5"/>
      <c r="F6" s="5"/>
      <c r="G6" s="5"/>
      <c r="H6" s="5"/>
      <c r="I6" s="5"/>
      <c r="J6" s="5"/>
      <c r="K6" s="5"/>
      <c r="L6" s="5"/>
      <c r="M6" s="5"/>
    </row>
    <row r="7" spans="1:13" x14ac:dyDescent="0.25">
      <c r="A7" s="5"/>
      <c r="B7" s="5"/>
      <c r="C7" s="5"/>
      <c r="D7" s="5"/>
      <c r="E7" s="5"/>
      <c r="F7" s="5"/>
      <c r="G7" s="5"/>
      <c r="H7" s="5"/>
      <c r="I7" s="5"/>
      <c r="J7" s="5"/>
      <c r="K7" s="5"/>
      <c r="L7" s="5"/>
      <c r="M7" s="5"/>
    </row>
    <row r="8" spans="1:13" x14ac:dyDescent="0.25">
      <c r="A8" s="5"/>
      <c r="B8" s="5"/>
      <c r="C8" s="5"/>
      <c r="D8" s="5"/>
      <c r="E8" s="5"/>
      <c r="F8" s="5"/>
      <c r="G8" s="5"/>
      <c r="H8" s="5"/>
      <c r="I8" s="5"/>
      <c r="J8" s="5"/>
      <c r="K8" s="5"/>
      <c r="L8" s="5"/>
      <c r="M8" s="5"/>
    </row>
    <row r="9" spans="1:13" x14ac:dyDescent="0.25">
      <c r="A9" s="5"/>
      <c r="B9" s="5"/>
      <c r="C9" s="5"/>
      <c r="D9" s="5"/>
      <c r="E9" s="5"/>
      <c r="F9" s="5"/>
      <c r="G9" s="5"/>
      <c r="H9" s="5"/>
      <c r="I9" s="5"/>
      <c r="J9" s="5"/>
      <c r="K9" s="5"/>
      <c r="L9" s="5"/>
      <c r="M9" s="5"/>
    </row>
    <row r="10" spans="1:13" x14ac:dyDescent="0.25">
      <c r="A10" s="5"/>
      <c r="B10" s="5"/>
      <c r="C10" s="5"/>
      <c r="D10" s="5"/>
      <c r="E10" s="5"/>
      <c r="F10" s="5"/>
      <c r="G10" s="5"/>
      <c r="H10" s="5"/>
      <c r="I10" s="5"/>
      <c r="J10" s="5"/>
      <c r="K10" s="5"/>
      <c r="L10" s="5"/>
      <c r="M10" s="5"/>
    </row>
    <row r="11" spans="1:13" x14ac:dyDescent="0.25">
      <c r="A11" s="5"/>
      <c r="B11" s="5"/>
      <c r="C11" s="5"/>
      <c r="D11" s="5"/>
      <c r="E11" s="5"/>
      <c r="F11" s="5"/>
      <c r="G11" s="5"/>
      <c r="H11" s="5"/>
      <c r="I11" s="5"/>
      <c r="J11" s="5"/>
      <c r="K11" s="5"/>
      <c r="L11" s="5"/>
      <c r="M11" s="5"/>
    </row>
    <row r="12" spans="1:13" x14ac:dyDescent="0.25">
      <c r="A12" s="5"/>
      <c r="B12" s="5"/>
      <c r="C12" s="5"/>
      <c r="D12" s="5"/>
      <c r="E12" s="5"/>
      <c r="F12" s="5"/>
      <c r="G12" s="5"/>
      <c r="H12" s="5"/>
      <c r="I12" s="5"/>
      <c r="J12" s="5"/>
      <c r="K12" s="5"/>
      <c r="L12" s="5"/>
      <c r="M12" s="5"/>
    </row>
    <row r="13" spans="1:13" x14ac:dyDescent="0.25">
      <c r="A13" s="5"/>
      <c r="B13" s="5"/>
      <c r="C13" s="5"/>
      <c r="D13" s="5"/>
      <c r="E13" s="5"/>
      <c r="F13" s="5"/>
      <c r="G13" s="5"/>
      <c r="H13" s="5"/>
      <c r="I13" s="5"/>
      <c r="J13" s="5"/>
      <c r="K13" s="5"/>
      <c r="L13" s="5"/>
      <c r="M13" s="5"/>
    </row>
    <row r="14" spans="1:13" x14ac:dyDescent="0.25">
      <c r="A14" s="5"/>
      <c r="B14" s="5"/>
      <c r="C14" s="5"/>
      <c r="D14" s="5"/>
      <c r="E14" s="5"/>
      <c r="F14" s="5"/>
      <c r="G14" s="5"/>
      <c r="H14" s="5"/>
      <c r="I14" s="5"/>
      <c r="J14" s="5"/>
      <c r="K14" s="5"/>
      <c r="L14" s="5"/>
      <c r="M14" s="5"/>
    </row>
    <row r="15" spans="1:13" x14ac:dyDescent="0.25">
      <c r="A15" s="5"/>
      <c r="B15" s="5"/>
      <c r="C15" s="5"/>
      <c r="D15" s="5"/>
      <c r="E15" s="5"/>
      <c r="F15" s="5"/>
      <c r="G15" s="5"/>
      <c r="H15" s="5"/>
      <c r="I15" s="5"/>
      <c r="J15" s="5"/>
      <c r="K15" s="5"/>
      <c r="L15" s="5"/>
      <c r="M15" s="5"/>
    </row>
    <row r="16" spans="1:13" x14ac:dyDescent="0.25">
      <c r="A16" s="5"/>
      <c r="B16" s="5"/>
      <c r="C16" s="5"/>
      <c r="D16" s="5"/>
      <c r="E16" s="5"/>
      <c r="F16" s="5"/>
      <c r="G16" s="5"/>
      <c r="H16" s="5"/>
      <c r="I16" s="5"/>
      <c r="J16" s="5"/>
      <c r="K16" s="5"/>
      <c r="L16" s="5"/>
      <c r="M16" s="5"/>
    </row>
    <row r="17" spans="1:13" x14ac:dyDescent="0.25">
      <c r="A17" s="5"/>
      <c r="B17" s="5"/>
      <c r="C17" s="5"/>
      <c r="D17" s="5"/>
      <c r="E17" s="5"/>
      <c r="F17" s="5"/>
      <c r="G17" s="5"/>
      <c r="H17" s="5"/>
      <c r="I17" s="5"/>
      <c r="J17" s="5"/>
      <c r="K17" s="5"/>
      <c r="L17" s="5"/>
      <c r="M17" s="5"/>
    </row>
    <row r="18" spans="1:13" x14ac:dyDescent="0.25">
      <c r="A18" s="5"/>
      <c r="B18" s="5"/>
      <c r="C18" s="5"/>
      <c r="D18" s="5"/>
      <c r="E18" s="5"/>
      <c r="F18" s="5"/>
      <c r="G18" s="5"/>
      <c r="H18" s="5"/>
      <c r="I18" s="5"/>
      <c r="J18" s="5"/>
      <c r="K18" s="5"/>
      <c r="L18" s="5"/>
      <c r="M18" s="5"/>
    </row>
    <row r="19" spans="1:13" x14ac:dyDescent="0.25">
      <c r="A19" s="5"/>
      <c r="B19" s="5"/>
      <c r="C19" s="5"/>
      <c r="D19" s="5"/>
      <c r="E19" s="5"/>
      <c r="F19" s="5"/>
      <c r="G19" s="5"/>
      <c r="H19" s="5"/>
      <c r="I19" s="5"/>
      <c r="J19" s="5"/>
      <c r="K19" s="5"/>
      <c r="L19" s="5"/>
      <c r="M19" s="5"/>
    </row>
    <row r="20" spans="1:13" x14ac:dyDescent="0.25">
      <c r="A20" s="5"/>
      <c r="B20" s="5"/>
      <c r="C20" s="5"/>
      <c r="D20" s="5"/>
      <c r="E20" s="5"/>
      <c r="F20" s="5"/>
      <c r="G20" s="5"/>
      <c r="H20" s="5"/>
      <c r="I20" s="5"/>
      <c r="J20" s="5"/>
      <c r="K20" s="5"/>
      <c r="L20" s="5"/>
      <c r="M20"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76C2-701A-4AFB-86F8-DBB45F47096B}">
  <dimension ref="C19:M19"/>
  <sheetViews>
    <sheetView workbookViewId="0"/>
  </sheetViews>
  <sheetFormatPr defaultRowHeight="15" x14ac:dyDescent="0.25"/>
  <sheetData>
    <row r="19" spans="3:13" x14ac:dyDescent="0.25">
      <c r="C19" s="8" t="s">
        <v>39</v>
      </c>
      <c r="D19" s="8"/>
      <c r="E19" s="8"/>
      <c r="F19" s="8"/>
      <c r="G19" s="8"/>
      <c r="H19" s="8"/>
      <c r="I19" s="8"/>
      <c r="J19" s="8"/>
      <c r="K19" s="8"/>
      <c r="L19" s="8"/>
      <c r="M19" s="8"/>
    </row>
  </sheetData>
  <mergeCells count="1">
    <mergeCell ref="C19:M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E33A-F605-4D1A-8AFC-576602C2A685}">
  <dimension ref="C18:M18"/>
  <sheetViews>
    <sheetView workbookViewId="0">
      <selection activeCell="R18" sqref="R18"/>
    </sheetView>
  </sheetViews>
  <sheetFormatPr defaultRowHeight="15" x14ac:dyDescent="0.25"/>
  <sheetData>
    <row r="18" spans="3:13" x14ac:dyDescent="0.25">
      <c r="C18" s="8" t="s">
        <v>41</v>
      </c>
      <c r="D18" s="8"/>
      <c r="E18" s="8"/>
      <c r="F18" s="8"/>
      <c r="G18" s="8"/>
      <c r="H18" s="8"/>
      <c r="I18" s="8"/>
      <c r="J18" s="8"/>
      <c r="K18" s="8"/>
      <c r="L18" s="8"/>
      <c r="M18" s="8"/>
    </row>
  </sheetData>
  <mergeCells count="1">
    <mergeCell ref="C18:M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E4C99D6-9DFD-4596-B6C7-8757A065869A}">
  <ds:schemaRefs/>
</ds:datastoreItem>
</file>

<file path=customXml/itemProps2.xml><?xml version="1.0" encoding="utf-8"?>
<ds:datastoreItem xmlns:ds="http://schemas.openxmlformats.org/officeDocument/2006/customXml" ds:itemID="{2734207D-577A-4EBE-ADE3-8C86085C2D6B}">
  <ds:schemaRefs/>
</ds:datastoreItem>
</file>

<file path=customXml/itemProps3.xml><?xml version="1.0" encoding="utf-8"?>
<ds:datastoreItem xmlns:ds="http://schemas.openxmlformats.org/officeDocument/2006/customXml" ds:itemID="{0D44D507-241C-4DC8-9E3A-A12CBB38E6E1}">
  <ds:schemaRefs/>
</ds:datastoreItem>
</file>

<file path=customXml/itemProps4.xml><?xml version="1.0" encoding="utf-8"?>
<ds:datastoreItem xmlns:ds="http://schemas.openxmlformats.org/officeDocument/2006/customXml" ds:itemID="{8B1D42CB-BA23-4F2A-AE6A-30127740FA95}">
  <ds:schemaRefs/>
</ds:datastoreItem>
</file>

<file path=customXml/itemProps5.xml><?xml version="1.0" encoding="utf-8"?>
<ds:datastoreItem xmlns:ds="http://schemas.openxmlformats.org/officeDocument/2006/customXml" ds:itemID="{5C275300-6A38-4C4F-9227-81986CA6864A}">
  <ds:schemaRefs/>
</ds:datastoreItem>
</file>

<file path=customXml/itemProps6.xml><?xml version="1.0" encoding="utf-8"?>
<ds:datastoreItem xmlns:ds="http://schemas.openxmlformats.org/officeDocument/2006/customXml" ds:itemID="{32274165-D655-4466-8C97-BC44FCB77BA0}">
  <ds:schemaRefs/>
</ds:datastoreItem>
</file>

<file path=customXml/itemProps7.xml><?xml version="1.0" encoding="utf-8"?>
<ds:datastoreItem xmlns:ds="http://schemas.openxmlformats.org/officeDocument/2006/customXml" ds:itemID="{CC4C304D-5E9A-49A9-81E7-B1E4986AFBED}">
  <ds:schemaRefs/>
</ds:datastoreItem>
</file>

<file path=customXml/itemProps8.xml><?xml version="1.0" encoding="utf-8"?>
<ds:datastoreItem xmlns:ds="http://schemas.openxmlformats.org/officeDocument/2006/customXml" ds:itemID="{299D91DF-2EDE-4CA8-8772-A3A2E0F1E25D}">
  <ds:schemaRefs/>
</ds:datastoreItem>
</file>

<file path=customXml/itemProps9.xml><?xml version="1.0" encoding="utf-8"?>
<ds:datastoreItem xmlns:ds="http://schemas.openxmlformats.org/officeDocument/2006/customXml" ds:itemID="{107DD589-4B94-4B0D-817E-41073225CC02}">
  <ds:schemaRefs/>
</ds:datastoreItem>
</file>

<file path=customXml/itemProps10.xml><?xml version="1.0" encoding="utf-8"?>
<ds:datastoreItem xmlns:ds="http://schemas.openxmlformats.org/officeDocument/2006/customXml" ds:itemID="{23461228-057F-45C5-B92F-3F970EC1DE6C}">
  <ds:schemaRefs/>
</ds:datastoreItem>
</file>

<file path=customXml/itemProps11.xml><?xml version="1.0" encoding="utf-8"?>
<ds:datastoreItem xmlns:ds="http://schemas.openxmlformats.org/officeDocument/2006/customXml" ds:itemID="{7D5B0732-EF33-4202-BF79-7F982AD363D7}">
  <ds:schemaRefs/>
</ds:datastoreItem>
</file>

<file path=customXml/itemProps12.xml><?xml version="1.0" encoding="utf-8"?>
<ds:datastoreItem xmlns:ds="http://schemas.openxmlformats.org/officeDocument/2006/customXml" ds:itemID="{CD4A1C10-DC2A-4B36-8FFA-7BEA15D9E825}">
  <ds:schemaRefs/>
</ds:datastoreItem>
</file>

<file path=customXml/itemProps13.xml><?xml version="1.0" encoding="utf-8"?>
<ds:datastoreItem xmlns:ds="http://schemas.openxmlformats.org/officeDocument/2006/customXml" ds:itemID="{B5E146ED-72A6-4612-AD15-2EA57D9F0609}">
  <ds:schemaRefs>
    <ds:schemaRef ds:uri="http://schemas.microsoft.com/DataMashup"/>
  </ds:schemaRefs>
</ds:datastoreItem>
</file>

<file path=customXml/itemProps14.xml><?xml version="1.0" encoding="utf-8"?>
<ds:datastoreItem xmlns:ds="http://schemas.openxmlformats.org/officeDocument/2006/customXml" ds:itemID="{FDECDB1B-1779-4841-B555-510C2FA79513}">
  <ds:schemaRefs/>
</ds:datastoreItem>
</file>

<file path=customXml/itemProps15.xml><?xml version="1.0" encoding="utf-8"?>
<ds:datastoreItem xmlns:ds="http://schemas.openxmlformats.org/officeDocument/2006/customXml" ds:itemID="{F964F16B-6E5C-481D-B54E-4656D74A3B24}">
  <ds:schemaRefs/>
</ds:datastoreItem>
</file>

<file path=customXml/itemProps16.xml><?xml version="1.0" encoding="utf-8"?>
<ds:datastoreItem xmlns:ds="http://schemas.openxmlformats.org/officeDocument/2006/customXml" ds:itemID="{140728B3-2FA7-43F8-B5C0-B314A2AD1646}">
  <ds:schemaRefs/>
</ds:datastoreItem>
</file>

<file path=customXml/itemProps17.xml><?xml version="1.0" encoding="utf-8"?>
<ds:datastoreItem xmlns:ds="http://schemas.openxmlformats.org/officeDocument/2006/customXml" ds:itemID="{C206CA93-3764-4D8B-91E6-3D40167258A4}">
  <ds:schemaRefs/>
</ds:datastoreItem>
</file>

<file path=customXml/itemProps18.xml><?xml version="1.0" encoding="utf-8"?>
<ds:datastoreItem xmlns:ds="http://schemas.openxmlformats.org/officeDocument/2006/customXml" ds:itemID="{19C9319B-9113-49A4-B1B7-36F68DF51F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Pivot_Reports</vt:lpstr>
      <vt:lpstr>Dashboard</vt:lpstr>
      <vt:lpstr>Daily ER No. of Patients</vt:lpstr>
      <vt:lpstr>Daily Avg. Wait Time of Patient</vt:lpstr>
      <vt:lpstr>Daily Avg. Patient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dc:creator>
  <cp:lastModifiedBy>Muskan Tanna</cp:lastModifiedBy>
  <dcterms:created xsi:type="dcterms:W3CDTF">2015-06-05T18:17:20Z</dcterms:created>
  <dcterms:modified xsi:type="dcterms:W3CDTF">2026-02-01T16:19:14Z</dcterms:modified>
</cp:coreProperties>
</file>